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RVADNYA\Excel\ExcelR Assignment\Excel Assignment\"/>
    </mc:Choice>
  </mc:AlternateContent>
  <xr:revisionPtr revIDLastSave="0" documentId="13_ncr:1_{A0A3D8F9-F9CB-44A6-959A-3FE8AF792A5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harts1" sheetId="1" r:id="rId1"/>
    <sheet name="Charts2" sheetId="2" r:id="rId2"/>
  </sheets>
  <calcPr calcId="191029"/>
  <pivotCaches>
    <pivotCache cacheId="0" r:id="rId3"/>
    <pivotCache cacheId="2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0oS+2/xsXl+urb1iAtYAU7e030EzJXiXg1fLrdYjMe4="/>
    </ext>
  </extLst>
</workbook>
</file>

<file path=xl/calcChain.xml><?xml version="1.0" encoding="utf-8"?>
<calcChain xmlns="http://schemas.openxmlformats.org/spreadsheetml/2006/main">
  <c r="D25" i="2" l="1"/>
  <c r="E23" i="2"/>
  <c r="E22" i="2"/>
  <c r="E21" i="2"/>
  <c r="F21" i="2" s="1"/>
  <c r="E20" i="2"/>
  <c r="F20" i="2" s="1"/>
  <c r="E19" i="2"/>
  <c r="F19" i="2" s="1"/>
  <c r="E18" i="2"/>
  <c r="E17" i="2"/>
  <c r="F17" i="2" s="1"/>
  <c r="E16" i="2"/>
  <c r="F16" i="2" s="1"/>
  <c r="E15" i="2"/>
  <c r="F15" i="2" s="1"/>
  <c r="E14" i="2"/>
  <c r="F14" i="2" s="1"/>
  <c r="E13" i="2"/>
  <c r="F13" i="2" s="1"/>
  <c r="E12" i="2"/>
  <c r="E11" i="2"/>
  <c r="F11" i="2" s="1"/>
  <c r="E10" i="2"/>
  <c r="F10" i="2" s="1"/>
  <c r="E9" i="2"/>
  <c r="F9" i="2" s="1"/>
  <c r="E8" i="2"/>
  <c r="F8" i="2" s="1"/>
  <c r="E7" i="2"/>
  <c r="F7" i="2" s="1"/>
  <c r="F22" i="2" l="1"/>
  <c r="F18" i="2"/>
  <c r="F12" i="2"/>
  <c r="F23" i="2"/>
</calcChain>
</file>

<file path=xl/sharedStrings.xml><?xml version="1.0" encoding="utf-8"?>
<sst xmlns="http://schemas.openxmlformats.org/spreadsheetml/2006/main" count="18" uniqueCount="13">
  <si>
    <t>Create Line Chart with Proper formatting</t>
  </si>
  <si>
    <t>Should be formatted as shown in picture</t>
  </si>
  <si>
    <t>Date</t>
  </si>
  <si>
    <t>Revenue'000</t>
  </si>
  <si>
    <t>Create Combo Chart with Proper formatting</t>
  </si>
  <si>
    <t>Running Total</t>
  </si>
  <si>
    <t>%</t>
  </si>
  <si>
    <t>Total</t>
  </si>
  <si>
    <t>Sum of Revenue'000</t>
  </si>
  <si>
    <t>Row Labels</t>
  </si>
  <si>
    <t>Grand Total</t>
  </si>
  <si>
    <t xml:space="preserve"> Revenue'000</t>
  </si>
  <si>
    <t xml:space="preserve">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</si>
</sst>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&quot;$&quot;#,##0_);[Red]\(&quot;$&quot;#,##0\)"/>
  </numFmts>
  <fonts count="5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6" fontId="3" fillId="0" borderId="3" xfId="0" applyNumberFormat="1" applyFont="1" applyBorder="1"/>
    <xf numFmtId="0" fontId="3" fillId="0" borderId="4" xfId="0" applyFont="1" applyBorder="1"/>
    <xf numFmtId="6" fontId="3" fillId="0" borderId="1" xfId="0" applyNumberFormat="1" applyFont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1" xfId="0" applyFont="1" applyFill="1" applyBorder="1"/>
    <xf numFmtId="164" fontId="3" fillId="0" borderId="3" xfId="0" applyNumberFormat="1" applyFont="1" applyBorder="1"/>
    <xf numFmtId="9" fontId="3" fillId="0" borderId="1" xfId="0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164" fontId="3" fillId="0" borderId="0" xfId="0" applyNumberFormat="1" applyFont="1"/>
    <xf numFmtId="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0" applyNumberFormat="1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2">
    <dxf>
      <numFmt numFmtId="14" formatCode="0.0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[Q6. Charts.xlsx]Charts1!PivotTable1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Revenue'000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  <a:round/>
            <a:tailEnd type="diamond"/>
          </a:ln>
          <a:effectLst/>
        </c:spPr>
        <c:marker>
          <c:symbol val="diamond"/>
          <c:size val="6"/>
          <c:spPr>
            <a:solidFill>
              <a:schemeClr val="accent2">
                <a:lumMod val="75000"/>
              </a:schemeClr>
            </a:solidFill>
            <a:ln w="9525" cap="rnd">
              <a:solidFill>
                <a:schemeClr val="accent2">
                  <a:lumMod val="75000"/>
                </a:schemeClr>
              </a:solidFill>
              <a:round/>
              <a:tailEnd type="triangle" w="lg" len="me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Charts1!$D$22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  <a:tailEnd type="diamond"/>
            </a:ln>
            <a:effectLst/>
          </c:spPr>
          <c:marker>
            <c:symbol val="diamond"/>
            <c:size val="6"/>
            <c:spPr>
              <a:solidFill>
                <a:schemeClr val="accent2">
                  <a:lumMod val="75000"/>
                </a:schemeClr>
              </a:solidFill>
              <a:ln w="9525" cap="rnd">
                <a:solidFill>
                  <a:schemeClr val="accent2">
                    <a:lumMod val="75000"/>
                  </a:schemeClr>
                </a:solidFill>
                <a:round/>
                <a:tailEnd type="triangle" w="lg" len="me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Charts1!$C$23:$C$38</c:f>
              <c:strCach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strCache>
            </c:strRef>
          </c:cat>
          <c:val>
            <c:numRef>
              <c:f>Charts1!$D$23:$D$38</c:f>
              <c:numCache>
                <c:formatCode>"₹"#,##0_);[Red]\("₹"#,##0\)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A3-4648-9693-B8ADBA9754E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78893072"/>
        <c:axId val="1585706432"/>
      </c:lineChart>
      <c:catAx>
        <c:axId val="157889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6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706432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585706432"/>
        <c:scaling>
          <c:orientation val="minMax"/>
        </c:scaling>
        <c:delete val="1"/>
        <c:axPos val="l"/>
        <c:numFmt formatCode="&quot;₹&quot;#,##0_);[Red]\(&quot;₹&quot;#,##0\)" sourceLinked="1"/>
        <c:majorTickMark val="out"/>
        <c:minorTickMark val="none"/>
        <c:tickLblPos val="nextTo"/>
        <c:crossAx val="157889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[Q6. Charts.xlsx]Charts2!PivotTable1</c:name>
    <c:fmtId val="0"/>
  </c:pivotSource>
  <c:chart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 w="34925">
            <a:solidFill>
              <a:schemeClr val="accent2">
                <a:lumMod val="60000"/>
                <a:lumOff val="40000"/>
              </a:schemeClr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accent6">
                <a:lumMod val="50000"/>
              </a:schemeClr>
            </a:solidFill>
          </a:ln>
          <a:effectLst/>
        </c:spPr>
        <c:marker>
          <c:symbol val="diamond"/>
          <c:size val="10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diamond"/>
          <c:size val="16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>
                <a:lumMod val="50000"/>
              </a:schemeClr>
            </a:solidFill>
            <a:round/>
            <a:headEnd type="none"/>
            <a:tailEnd type="diamond" w="lg" len="lg"/>
          </a:ln>
          <a:effectLst/>
        </c:spPr>
        <c:marker>
          <c:symbol val="diamond"/>
          <c:size val="8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</c:pivotFmt>
      <c:pivotFmt>
        <c:idx val="6"/>
        <c:spPr>
          <a:ln w="28575" cap="rnd">
            <a:solidFill>
              <a:schemeClr val="accent6">
                <a:lumMod val="50000"/>
              </a:schemeClr>
            </a:solidFill>
            <a:round/>
            <a:headEnd type="none"/>
            <a:tailEnd type="diamond" w="lg" len="lg"/>
          </a:ln>
          <a:effectLst/>
        </c:spPr>
        <c:marker>
          <c:symbol val="diamond"/>
          <c:size val="8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tx>
            <c:rich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  <c15:showDataLabelsRange val="1"/>
            </c:ext>
          </c:extLst>
        </c:dLbl>
      </c:pivotFmt>
      <c:pivotFmt>
        <c:idx val="7"/>
        <c:spPr>
          <a:ln w="28575" cap="rnd">
            <a:solidFill>
              <a:schemeClr val="accent6">
                <a:lumMod val="50000"/>
              </a:schemeClr>
            </a:solidFill>
            <a:round/>
            <a:headEnd type="none"/>
            <a:tailEnd type="diamond" w="lg" len="lg"/>
          </a:ln>
          <a:effectLst/>
        </c:spPr>
        <c:marker>
          <c:symbol val="diamond"/>
          <c:size val="8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tx>
            <c:rich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8A714FA-3626-445A-9321-664F0BD37E82}" type="CELLRANGE">
                  <a:rPr lang="en-US"/>
                  <a:pPr>
                    <a:defRPr/>
                  </a:pPr>
                  <a:t>[CELLRANGE]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8"/>
        <c:spPr>
          <a:ln w="28575" cap="rnd">
            <a:solidFill>
              <a:schemeClr val="accent6">
                <a:lumMod val="50000"/>
              </a:schemeClr>
            </a:solidFill>
            <a:round/>
            <a:headEnd type="none"/>
            <a:tailEnd type="diamond" w="lg" len="lg"/>
          </a:ln>
          <a:effectLst/>
        </c:spPr>
        <c:marker>
          <c:symbol val="diamond"/>
          <c:size val="8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tx>
            <c:rich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9D3BD2F-9E71-42A0-9B4A-29C08EA96093}" type="CELLRANGE">
                  <a:rPr lang="en-US"/>
                  <a:pPr>
                    <a:defRPr/>
                  </a:pPr>
                  <a:t>[CELLRANGE]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9"/>
        <c:spPr>
          <a:ln w="28575" cap="rnd">
            <a:solidFill>
              <a:schemeClr val="accent6">
                <a:lumMod val="50000"/>
              </a:schemeClr>
            </a:solidFill>
            <a:round/>
            <a:headEnd type="none"/>
            <a:tailEnd type="diamond" w="lg" len="lg"/>
          </a:ln>
          <a:effectLst/>
        </c:spPr>
        <c:marker>
          <c:symbol val="diamond"/>
          <c:size val="8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tx>
            <c:rich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A0C80F2-99DA-4D85-9A2C-29A983957873}" type="CELLRANGE">
                  <a:rPr lang="en-US"/>
                  <a:pPr>
                    <a:defRPr/>
                  </a:pPr>
                  <a:t>[CELLRANGE]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0"/>
        <c:spPr>
          <a:ln w="28575" cap="rnd">
            <a:solidFill>
              <a:schemeClr val="accent6">
                <a:lumMod val="50000"/>
              </a:schemeClr>
            </a:solidFill>
            <a:round/>
            <a:headEnd type="none"/>
            <a:tailEnd type="diamond" w="lg" len="lg"/>
          </a:ln>
          <a:effectLst/>
        </c:spPr>
        <c:marker>
          <c:symbol val="diamond"/>
          <c:size val="8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tx>
            <c:rich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85065BD-977F-4A89-B51E-CC5523DA8AD6}" type="CELLRANGE">
                  <a:rPr lang="en-US"/>
                  <a:pPr>
                    <a:defRPr/>
                  </a:pPr>
                  <a:t>[CELLRANGE]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1"/>
        <c:spPr>
          <a:ln w="28575" cap="rnd">
            <a:solidFill>
              <a:schemeClr val="accent6">
                <a:lumMod val="50000"/>
              </a:schemeClr>
            </a:solidFill>
            <a:round/>
            <a:headEnd type="none"/>
            <a:tailEnd type="diamond" w="lg" len="lg"/>
          </a:ln>
          <a:effectLst/>
        </c:spPr>
        <c:marker>
          <c:symbol val="diamond"/>
          <c:size val="8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tx>
            <c:rich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B45941A-EFE3-478E-A2F8-7046E752E906}" type="CELLRANGE">
                  <a:rPr lang="en-US"/>
                  <a:pPr>
                    <a:defRPr/>
                  </a:pPr>
                  <a:t>[CELLRANGE]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2"/>
        <c:spPr>
          <a:ln w="28575" cap="rnd">
            <a:solidFill>
              <a:schemeClr val="accent6">
                <a:lumMod val="50000"/>
              </a:schemeClr>
            </a:solidFill>
            <a:round/>
            <a:headEnd type="none"/>
            <a:tailEnd type="diamond" w="lg" len="lg"/>
          </a:ln>
          <a:effectLst/>
        </c:spPr>
        <c:marker>
          <c:symbol val="diamond"/>
          <c:size val="8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tx>
            <c:rich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5F90AAF-3619-4C4C-BE37-2D7890824680}" type="CELLRANGE">
                  <a:rPr lang="en-US"/>
                  <a:pPr>
                    <a:defRPr/>
                  </a:pPr>
                  <a:t>[CELLRANGE]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3"/>
        <c:spPr>
          <a:ln w="28575" cap="rnd">
            <a:solidFill>
              <a:schemeClr val="accent6">
                <a:lumMod val="50000"/>
              </a:schemeClr>
            </a:solidFill>
            <a:round/>
            <a:headEnd type="none"/>
            <a:tailEnd type="diamond" w="lg" len="lg"/>
          </a:ln>
          <a:effectLst/>
        </c:spPr>
        <c:marker>
          <c:symbol val="diamond"/>
          <c:size val="8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tx>
            <c:rich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FB95484-DD63-483E-B7D2-CBCD4805F42B}" type="CELLRANGE">
                  <a:rPr lang="en-US"/>
                  <a:pPr>
                    <a:defRPr/>
                  </a:pPr>
                  <a:t>[CELLRANGE]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4"/>
        <c:spPr>
          <a:ln w="28575" cap="rnd">
            <a:solidFill>
              <a:schemeClr val="accent6">
                <a:lumMod val="50000"/>
              </a:schemeClr>
            </a:solidFill>
            <a:round/>
            <a:headEnd type="none"/>
            <a:tailEnd type="diamond" w="lg" len="lg"/>
          </a:ln>
          <a:effectLst/>
        </c:spPr>
        <c:marker>
          <c:symbol val="diamond"/>
          <c:size val="8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tx>
            <c:rich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243EB41-46AF-4269-AD1F-C50619FC6C78}" type="CELLRANGE">
                  <a:rPr lang="en-US"/>
                  <a:pPr>
                    <a:defRPr/>
                  </a:pPr>
                  <a:t>[CELLRANGE]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5"/>
        <c:spPr>
          <a:ln w="28575" cap="rnd">
            <a:solidFill>
              <a:schemeClr val="accent6">
                <a:lumMod val="50000"/>
              </a:schemeClr>
            </a:solidFill>
            <a:round/>
            <a:headEnd type="none"/>
            <a:tailEnd type="diamond" w="lg" len="lg"/>
          </a:ln>
          <a:effectLst/>
        </c:spPr>
        <c:marker>
          <c:symbol val="diamond"/>
          <c:size val="8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tx>
            <c:rich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84420FB-F1E6-4A18-B775-2034D60E5A40}" type="CELLRANGE">
                  <a:rPr lang="en-US"/>
                  <a:pPr>
                    <a:defRPr/>
                  </a:pPr>
                  <a:t>[CELLRANGE]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6"/>
        <c:spPr>
          <a:ln w="28575" cap="rnd">
            <a:solidFill>
              <a:schemeClr val="accent6">
                <a:lumMod val="50000"/>
              </a:schemeClr>
            </a:solidFill>
            <a:round/>
            <a:headEnd type="none"/>
            <a:tailEnd type="diamond" w="lg" len="lg"/>
          </a:ln>
          <a:effectLst/>
        </c:spPr>
        <c:marker>
          <c:symbol val="diamond"/>
          <c:size val="8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tx>
            <c:rich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F75FF32-9C27-4747-8701-1439BFD67AA6}" type="CELLRANGE">
                  <a:rPr lang="en-US"/>
                  <a:pPr>
                    <a:defRPr/>
                  </a:pPr>
                  <a:t>[CELLRANGE]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7"/>
        <c:spPr>
          <a:ln w="28575" cap="rnd">
            <a:solidFill>
              <a:schemeClr val="accent6">
                <a:lumMod val="50000"/>
              </a:schemeClr>
            </a:solidFill>
            <a:round/>
            <a:headEnd type="none"/>
            <a:tailEnd type="diamond" w="lg" len="lg"/>
          </a:ln>
          <a:effectLst/>
        </c:spPr>
        <c:marker>
          <c:symbol val="diamond"/>
          <c:size val="8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tx>
            <c:rich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30FF33B-E1F1-4939-8026-8027399AF448}" type="CELLRANGE">
                  <a:rPr lang="en-US"/>
                  <a:pPr>
                    <a:defRPr/>
                  </a:pPr>
                  <a:t>[CELLRANGE]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8"/>
        <c:spPr>
          <a:ln w="28575" cap="rnd">
            <a:solidFill>
              <a:schemeClr val="accent6">
                <a:lumMod val="50000"/>
              </a:schemeClr>
            </a:solidFill>
            <a:round/>
            <a:headEnd type="none"/>
            <a:tailEnd type="diamond" w="lg" len="lg"/>
          </a:ln>
          <a:effectLst/>
        </c:spPr>
        <c:marker>
          <c:symbol val="diamond"/>
          <c:size val="8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tx>
            <c:rich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E0BED4C-A3C7-4A4F-A5F8-A974EFBEEA29}" type="CELLRANGE">
                  <a:rPr lang="en-US"/>
                  <a:pPr>
                    <a:defRPr/>
                  </a:pPr>
                  <a:t>[CELLRANGE]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9"/>
        <c:spPr>
          <a:ln w="28575" cap="rnd">
            <a:solidFill>
              <a:schemeClr val="accent6">
                <a:lumMod val="50000"/>
              </a:schemeClr>
            </a:solidFill>
            <a:round/>
            <a:headEnd type="none"/>
            <a:tailEnd type="diamond" w="lg" len="lg"/>
          </a:ln>
          <a:effectLst/>
        </c:spPr>
        <c:marker>
          <c:symbol val="diamond"/>
          <c:size val="8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tx>
            <c:rich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3499BCB-3A37-491A-8515-A88A00B0FA29}" type="CELLRANGE">
                  <a:rPr lang="en-US"/>
                  <a:pPr>
                    <a:defRPr/>
                  </a:pPr>
                  <a:t>[CELLRANGE]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0"/>
        <c:spPr>
          <a:ln w="28575" cap="rnd">
            <a:solidFill>
              <a:schemeClr val="accent6">
                <a:lumMod val="50000"/>
              </a:schemeClr>
            </a:solidFill>
            <a:round/>
            <a:headEnd type="none"/>
            <a:tailEnd type="diamond" w="lg" len="lg"/>
          </a:ln>
          <a:effectLst/>
        </c:spPr>
        <c:marker>
          <c:symbol val="diamond"/>
          <c:size val="8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tx>
            <c:rich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83512E0-BFA5-4803-BF81-7C77849ECD94}" type="CELLRANGE">
                  <a:rPr lang="en-US"/>
                  <a:pPr>
                    <a:defRPr/>
                  </a:pPr>
                  <a:t>[CELLRANGE]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1"/>
        <c:spPr>
          <a:ln w="28575" cap="rnd">
            <a:solidFill>
              <a:schemeClr val="accent6">
                <a:lumMod val="50000"/>
              </a:schemeClr>
            </a:solidFill>
            <a:round/>
            <a:headEnd type="none"/>
            <a:tailEnd type="diamond" w="lg" len="lg"/>
          </a:ln>
          <a:effectLst/>
        </c:spPr>
        <c:marker>
          <c:symbol val="diamond"/>
          <c:size val="8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tx>
            <c:rich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AD055A5-FE4D-4818-BD98-362873AD0769}" type="CELLRANGE">
                  <a:rPr lang="en-US"/>
                  <a:pPr>
                    <a:defRPr/>
                  </a:pPr>
                  <a:t>[CELLRANGE]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2"/>
        <c:spPr>
          <a:ln w="28575" cap="rnd">
            <a:solidFill>
              <a:schemeClr val="accent6">
                <a:lumMod val="50000"/>
              </a:schemeClr>
            </a:solidFill>
            <a:round/>
            <a:headEnd type="none"/>
            <a:tailEnd type="diamond" w="lg" len="lg"/>
          </a:ln>
          <a:effectLst/>
        </c:spPr>
        <c:marker>
          <c:symbol val="diamond"/>
          <c:size val="8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</c:pivotFmt>
      <c:pivotFmt>
        <c:idx val="23"/>
        <c:spPr>
          <a:ln w="28575" cap="rnd">
            <a:solidFill>
              <a:schemeClr val="accent6">
                <a:lumMod val="50000"/>
              </a:schemeClr>
            </a:solidFill>
            <a:round/>
            <a:headEnd type="none"/>
            <a:tailEnd type="diamond" w="lg" len="lg"/>
          </a:ln>
          <a:effectLst/>
        </c:spPr>
        <c:marker>
          <c:symbol val="diamond"/>
          <c:size val="12"/>
        </c:marker>
        <c:dLbl>
          <c:idx val="0"/>
          <c:tx>
            <c:rich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46765FA-EF51-4A7C-815F-3C430F1C67EF}" type="CELLRANGE">
                  <a:rPr lang="en-US"/>
                  <a:pPr>
                    <a:defRPr/>
                  </a:pPr>
                  <a:t>[CELLRANGE]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4"/>
        <c:spPr>
          <a:solidFill>
            <a:schemeClr val="accent2">
              <a:lumMod val="60000"/>
              <a:lumOff val="40000"/>
            </a:schemeClr>
          </a:solidFill>
          <a:ln w="34925">
            <a:solidFill>
              <a:schemeClr val="accent2">
                <a:lumMod val="60000"/>
                <a:lumOff val="40000"/>
              </a:schemeClr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>
              <a:lumMod val="60000"/>
              <a:lumOff val="40000"/>
            </a:schemeClr>
          </a:solidFill>
          <a:ln w="34925">
            <a:solidFill>
              <a:schemeClr val="accent2">
                <a:lumMod val="60000"/>
                <a:lumOff val="40000"/>
              </a:schemeClr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024428794224342"/>
          <c:y val="7.7612879357106437E-2"/>
          <c:w val="0.69403586456626987"/>
          <c:h val="0.812927468098724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Charts2!$D$30</c:f>
              <c:strCache>
                <c:ptCount val="1"/>
                <c:pt idx="0">
                  <c:v> Revenue'000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34925"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9948-4F9D-A40B-C1D8AD759A31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9948-4F9D-A40B-C1D8AD759A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Charts2!$C$31:$C$49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Charts2!$D$31:$D$49</c:f>
              <c:numCache>
                <c:formatCode>"$"#,##0_);[Red]\("$"#,##0\)</c:formatCode>
                <c:ptCount val="18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48-4F9D-A40B-C1D8AD759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92835632"/>
        <c:axId val="292822192"/>
      </c:barChart>
      <c:lineChart>
        <c:grouping val="standard"/>
        <c:varyColors val="0"/>
        <c:ser>
          <c:idx val="1"/>
          <c:order val="1"/>
          <c:tx>
            <c:strRef>
              <c:f>Charts2!$E$30</c:f>
              <c:strCache>
                <c:ptCount val="1"/>
                <c:pt idx="0">
                  <c:v> %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  <a:headEnd type="none"/>
              <a:tailEnd type="diamond" w="lg" len="lg"/>
            </a:ln>
            <a:effectLst/>
          </c:spPr>
          <c:marker>
            <c:symbol val="diamond"/>
            <c:size val="8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dPt>
            <c:idx val="17"/>
            <c:marker>
              <c:symbol val="diamond"/>
              <c:size val="12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9948-4F9D-A40B-C1D8AD759A3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948-4F9D-A40B-C1D8AD759A3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8A714FA-3626-445A-9321-664F0BD37E82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948-4F9D-A40B-C1D8AD759A3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9D3BD2F-9E71-42A0-9B4A-29C08EA96093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948-4F9D-A40B-C1D8AD759A3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A0C80F2-99DA-4D85-9A2C-29A983957873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948-4F9D-A40B-C1D8AD759A3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85065BD-977F-4A89-B51E-CC5523DA8AD6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948-4F9D-A40B-C1D8AD759A3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B45941A-EFE3-478E-A2F8-7046E752E906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948-4F9D-A40B-C1D8AD759A3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5F90AAF-3619-4C4C-BE37-2D7890824680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948-4F9D-A40B-C1D8AD759A3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FB95484-DD63-483E-B7D2-CBCD4805F42B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948-4F9D-A40B-C1D8AD759A3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243EB41-46AF-4269-AD1F-C50619FC6C78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948-4F9D-A40B-C1D8AD759A3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84420FB-F1E6-4A18-B775-2034D60E5A40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948-4F9D-A40B-C1D8AD759A3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F75FF32-9C27-4747-8701-1439BFD67AA6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948-4F9D-A40B-C1D8AD759A3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30FF33B-E1F1-4939-8026-8027399AF448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948-4F9D-A40B-C1D8AD759A3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E0BED4C-A3C7-4A4F-A5F8-A974EFBEEA2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948-4F9D-A40B-C1D8AD759A3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3499BCB-3A37-491A-8515-A88A00B0FA2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948-4F9D-A40B-C1D8AD759A3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83512E0-BFA5-4803-BF81-7C77849ECD9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948-4F9D-A40B-C1D8AD759A3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AD055A5-FE4D-4818-BD98-362873AD076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9948-4F9D-A40B-C1D8AD759A31}"/>
                </c:ext>
              </c:extLst>
            </c:dLbl>
            <c:dLbl>
              <c:idx val="16"/>
              <c:layout>
                <c:manualLayout>
                  <c:x val="-2.876225209626234E-2"/>
                  <c:y val="-4.5216657510915158E-2"/>
                </c:manualLayout>
              </c:layout>
              <c:tx>
                <c:rich>
                  <a:bodyPr/>
                  <a:lstStyle/>
                  <a:p>
                    <a:fld id="{F7F1E510-9017-4863-8238-1581A541D69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9948-4F9D-A40B-C1D8AD759A3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46765FA-EF51-4A7C-815F-3C430F1C67E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9948-4F9D-A40B-C1D8AD759A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Charts2!$C$31:$C$49</c:f>
              <c:strCach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strCache>
            </c:strRef>
          </c:cat>
          <c:val>
            <c:numRef>
              <c:f>Charts2!$E$31:$E$49</c:f>
              <c:numCache>
                <c:formatCode>General</c:formatCode>
                <c:ptCount val="18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Charts2!$E$31:$E$48</c15:f>
                <c15:dlblRangeCache>
                  <c:ptCount val="18"/>
                  <c:pt idx="1">
                    <c:v>7%</c:v>
                  </c:pt>
                  <c:pt idx="2">
                    <c:v>17%</c:v>
                  </c:pt>
                  <c:pt idx="3">
                    <c:v>19%</c:v>
                  </c:pt>
                  <c:pt idx="4">
                    <c:v>26%</c:v>
                  </c:pt>
                  <c:pt idx="5">
                    <c:v>29%</c:v>
                  </c:pt>
                  <c:pt idx="6">
                    <c:v>35%</c:v>
                  </c:pt>
                  <c:pt idx="7">
                    <c:v>46%</c:v>
                  </c:pt>
                  <c:pt idx="8">
                    <c:v>51%</c:v>
                  </c:pt>
                  <c:pt idx="9">
                    <c:v>59%</c:v>
                  </c:pt>
                  <c:pt idx="10">
                    <c:v>63%</c:v>
                  </c:pt>
                  <c:pt idx="11">
                    <c:v>73%</c:v>
                  </c:pt>
                  <c:pt idx="12">
                    <c:v>79%</c:v>
                  </c:pt>
                  <c:pt idx="13">
                    <c:v>86%</c:v>
                  </c:pt>
                  <c:pt idx="14">
                    <c:v>89%</c:v>
                  </c:pt>
                  <c:pt idx="15">
                    <c:v>93%</c:v>
                  </c:pt>
                  <c:pt idx="16">
                    <c:v>95%</c:v>
                  </c:pt>
                  <c:pt idx="1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9948-4F9D-A40B-C1D8AD759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2814992"/>
        <c:axId val="292814512"/>
      </c:lineChart>
      <c:catAx>
        <c:axId val="292835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822192"/>
        <c:crosses val="autoZero"/>
        <c:auto val="1"/>
        <c:lblAlgn val="ctr"/>
        <c:lblOffset val="100"/>
        <c:noMultiLvlLbl val="0"/>
      </c:catAx>
      <c:valAx>
        <c:axId val="29282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835632"/>
        <c:crosses val="autoZero"/>
        <c:crossBetween val="between"/>
      </c:valAx>
      <c:valAx>
        <c:axId val="2928145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814992"/>
        <c:crosses val="max"/>
        <c:crossBetween val="between"/>
      </c:valAx>
      <c:catAx>
        <c:axId val="292814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281451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accent6">
          <a:lumMod val="20000"/>
          <a:lumOff val="8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466725</xdr:colOff>
      <xdr:row>6</xdr:row>
      <xdr:rowOff>57150</xdr:rowOff>
    </xdr:from>
    <xdr:ext cx="4572000" cy="18097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5</xdr:col>
      <xdr:colOff>45719</xdr:colOff>
      <xdr:row>18</xdr:row>
      <xdr:rowOff>68580</xdr:rowOff>
    </xdr:from>
    <xdr:to>
      <xdr:col>21</xdr:col>
      <xdr:colOff>136476</xdr:colOff>
      <xdr:row>34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A47435-ADAC-B45C-2954-8EF8AEFD64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412295</xdr:colOff>
      <xdr:row>4</xdr:row>
      <xdr:rowOff>80211</xdr:rowOff>
    </xdr:from>
    <xdr:ext cx="4063451" cy="2618588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4211" y="786064"/>
          <a:ext cx="4063451" cy="2618588"/>
        </a:xfrm>
        <a:prstGeom prst="rect">
          <a:avLst/>
        </a:prstGeom>
        <a:noFill/>
      </xdr:spPr>
    </xdr:pic>
    <xdr:clientData fLocksWithSheet="0"/>
  </xdr:oneCellAnchor>
  <xdr:twoCellAnchor>
    <xdr:from>
      <xdr:col>6</xdr:col>
      <xdr:colOff>469726</xdr:colOff>
      <xdr:row>28</xdr:row>
      <xdr:rowOff>68449</xdr:rowOff>
    </xdr:from>
    <xdr:to>
      <xdr:col>18</xdr:col>
      <xdr:colOff>605423</xdr:colOff>
      <xdr:row>56</xdr:row>
      <xdr:rowOff>12915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EE3555-EE77-FA3C-A6F9-3B2B63497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VADNYA" refreshedDate="45903.721999652778" createdVersion="8" refreshedVersion="8" minRefreshableVersion="3" recordCount="15" xr:uid="{6C37EE49-7789-41EB-BE36-221F20BBF855}">
  <cacheSource type="worksheet">
    <worksheetSource ref="C5:D20" sheet="Charts1"/>
  </cacheSource>
  <cacheFields count="2">
    <cacheField name="Date" numFmtId="0">
      <sharedItems containsSemiMixedTypes="0" containsString="0" containsNumber="1" containsInteger="1" minValue="1990" maxValue="2004" count="15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</sharedItems>
    </cacheField>
    <cacheField name="Revenue'000" numFmtId="6">
      <sharedItems containsSemiMixedTypes="0" containsString="0" containsNumber="1" containsInteger="1" minValue="1963" maxValue="84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VADNYA" refreshedDate="45932.716968981484" createdVersion="8" refreshedVersion="8" minRefreshableVersion="3" recordCount="18" xr:uid="{C384D1E8-7F14-43CD-8322-86271DAF1667}">
  <cacheSource type="worksheet">
    <worksheetSource ref="C5:F23" sheet="Charts2"/>
  </cacheSource>
  <cacheFields count="4">
    <cacheField name="Date" numFmtId="0">
      <sharedItems containsSemiMixedTypes="0" containsString="0" containsNumber="1" containsInteger="1" minValue="2005" maxValue="2022" count="18"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</sharedItems>
    </cacheField>
    <cacheField name="Revenue'000" numFmtId="164">
      <sharedItems containsSemiMixedTypes="0" containsString="0" containsNumber="1" containsInteger="1" minValue="528" maxValue="8709" count="18">
        <n v="528"/>
        <n v="4550"/>
        <n v="8189"/>
        <n v="1730"/>
        <n v="5262"/>
        <n v="2172"/>
        <n v="4384"/>
        <n v="8709"/>
        <n v="3618"/>
        <n v="6372"/>
        <n v="3456"/>
        <n v="7478"/>
        <n v="4649"/>
        <n v="5831"/>
        <n v="1599"/>
        <n v="3695"/>
        <n v="1678"/>
        <n v="3490"/>
      </sharedItems>
    </cacheField>
    <cacheField name="Running Total" numFmtId="0">
      <sharedItems containsString="0" containsBlank="1" containsNumber="1" containsInteger="1" minValue="5078" maxValue="77390" count="18">
        <m/>
        <n v="5078"/>
        <n v="13267"/>
        <n v="14997"/>
        <n v="20259"/>
        <n v="22431"/>
        <n v="26815"/>
        <n v="35524"/>
        <n v="39142"/>
        <n v="45514"/>
        <n v="48970"/>
        <n v="56448"/>
        <n v="61097"/>
        <n v="66928"/>
        <n v="68527"/>
        <n v="72222"/>
        <n v="73900"/>
        <n v="77390"/>
      </sharedItems>
    </cacheField>
    <cacheField name="%" numFmtId="0">
      <sharedItems containsString="0" containsBlank="1" containsNumber="1" minValue="6.5615712624370076E-2" maxValue="1" count="18">
        <m/>
        <n v="6.5615712624370076E-2"/>
        <n v="0.17143041736658482"/>
        <n v="0.19378472670887711"/>
        <n v="0.26177800749450836"/>
        <n v="0.28984364905026488"/>
        <n v="0.34649179480553044"/>
        <n v="0.45902571391652669"/>
        <n v="0.50577594004393334"/>
        <n v="0.58811215919369431"/>
        <n v="0.6327690916139036"/>
        <n v="0.72939656286341903"/>
        <n v="0.78946892363354437"/>
        <n v="0.86481457552655383"/>
        <n v="0.88547615971055693"/>
        <n v="0.93322134642718702"/>
        <n v="0.95490373433260112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n v="2156"/>
  </r>
  <r>
    <x v="1"/>
    <n v="3562"/>
  </r>
  <r>
    <x v="2"/>
    <n v="7506"/>
  </r>
  <r>
    <x v="3"/>
    <n v="6258"/>
  </r>
  <r>
    <x v="4"/>
    <n v="6279"/>
  </r>
  <r>
    <x v="5"/>
    <n v="1963"/>
  </r>
  <r>
    <x v="6"/>
    <n v="6736"/>
  </r>
  <r>
    <x v="7"/>
    <n v="3280"/>
  </r>
  <r>
    <x v="8"/>
    <n v="8398"/>
  </r>
  <r>
    <x v="9"/>
    <n v="2882"/>
  </r>
  <r>
    <x v="10"/>
    <n v="4686"/>
  </r>
  <r>
    <x v="11"/>
    <n v="6976"/>
  </r>
  <r>
    <x v="12"/>
    <n v="2173"/>
  </r>
  <r>
    <x v="13"/>
    <n v="2166"/>
  </r>
  <r>
    <x v="14"/>
    <n v="84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x v="0"/>
    <x v="0"/>
  </r>
  <r>
    <x v="1"/>
    <x v="1"/>
    <x v="1"/>
    <x v="1"/>
  </r>
  <r>
    <x v="2"/>
    <x v="2"/>
    <x v="2"/>
    <x v="2"/>
  </r>
  <r>
    <x v="3"/>
    <x v="3"/>
    <x v="3"/>
    <x v="3"/>
  </r>
  <r>
    <x v="4"/>
    <x v="4"/>
    <x v="4"/>
    <x v="4"/>
  </r>
  <r>
    <x v="5"/>
    <x v="5"/>
    <x v="5"/>
    <x v="5"/>
  </r>
  <r>
    <x v="6"/>
    <x v="6"/>
    <x v="6"/>
    <x v="6"/>
  </r>
  <r>
    <x v="7"/>
    <x v="7"/>
    <x v="7"/>
    <x v="7"/>
  </r>
  <r>
    <x v="8"/>
    <x v="8"/>
    <x v="8"/>
    <x v="8"/>
  </r>
  <r>
    <x v="9"/>
    <x v="9"/>
    <x v="9"/>
    <x v="9"/>
  </r>
  <r>
    <x v="10"/>
    <x v="10"/>
    <x v="10"/>
    <x v="10"/>
  </r>
  <r>
    <x v="11"/>
    <x v="11"/>
    <x v="11"/>
    <x v="11"/>
  </r>
  <r>
    <x v="12"/>
    <x v="12"/>
    <x v="12"/>
    <x v="12"/>
  </r>
  <r>
    <x v="13"/>
    <x v="13"/>
    <x v="13"/>
    <x v="13"/>
  </r>
  <r>
    <x v="14"/>
    <x v="14"/>
    <x v="14"/>
    <x v="14"/>
  </r>
  <r>
    <x v="15"/>
    <x v="15"/>
    <x v="15"/>
    <x v="15"/>
  </r>
  <r>
    <x v="16"/>
    <x v="16"/>
    <x v="16"/>
    <x v="16"/>
  </r>
  <r>
    <x v="17"/>
    <x v="17"/>
    <x v="17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9BD8C2-1500-477A-8530-298E47ABB97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C22:D38" firstHeaderRow="1" firstDataRow="1" firstDataCol="1"/>
  <pivotFields count="2"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numFmtId="6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Revenue'000" fld="1" baseField="0" baseItem="0" numFmtId="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A02BBE-0DEE-41AE-95CA-82FEA9CA0D9B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C30:E49" firstHeaderRow="0" firstDataRow="1" firstDataCol="1"/>
  <pivotFields count="4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numFmtId="164" showAll="0">
      <items count="19">
        <item x="0"/>
        <item x="14"/>
        <item x="16"/>
        <item x="3"/>
        <item x="5"/>
        <item x="10"/>
        <item x="17"/>
        <item x="8"/>
        <item x="15"/>
        <item x="6"/>
        <item x="1"/>
        <item x="12"/>
        <item x="4"/>
        <item x="13"/>
        <item x="9"/>
        <item x="11"/>
        <item x="2"/>
        <item x="7"/>
        <item t="default"/>
      </items>
    </pivotField>
    <pivotField showAll="0">
      <items count="1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0"/>
        <item t="default"/>
      </items>
    </pivotField>
    <pivotField dataField="1" showAll="0">
      <items count="1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0"/>
        <item t="default"/>
      </items>
    </pivotField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 Revenue'000" fld="1" baseField="0" baseItem="0" numFmtId="164"/>
    <dataField name=" %" fld="3" baseField="0" baseItem="0"/>
  </dataFields>
  <formats count="2">
    <format dxfId="0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1">
      <pivotArea collapsedLevelsAreSubtotals="1" fieldPosition="0">
        <references count="2">
          <reference field="4294967294" count="1" selected="0">
            <x v="1"/>
          </reference>
          <reference field="0" count="17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</format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1"/>
          </reference>
          <reference field="0" count="1" selected="0">
            <x v="12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1"/>
          </reference>
          <reference field="0" count="1" selected="0">
            <x v="13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1"/>
          </reference>
          <reference field="0" count="1" selected="0">
            <x v="14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1"/>
          </reference>
          <reference field="0" count="1" selected="0">
            <x v="15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1"/>
          </reference>
          <reference field="0" count="1" selected="0">
            <x v="16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1"/>
          </reference>
          <reference field="0" count="1" selected="0">
            <x v="17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D1000"/>
  <sheetViews>
    <sheetView topLeftCell="B1" zoomScale="68" zoomScaleNormal="100" workbookViewId="0">
      <selection activeCell="V39" sqref="V39"/>
    </sheetView>
  </sheetViews>
  <sheetFormatPr defaultColWidth="14.44140625" defaultRowHeight="15" customHeight="1" x14ac:dyDescent="0.3"/>
  <cols>
    <col min="1" max="2" width="8.6640625" customWidth="1"/>
    <col min="3" max="3" width="12.5546875" bestFit="1" customWidth="1"/>
    <col min="4" max="4" width="18.44140625" bestFit="1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</row>
    <row r="3" spans="3:4" ht="14.25" customHeight="1" x14ac:dyDescent="0.3">
      <c r="C3" s="1" t="s">
        <v>1</v>
      </c>
    </row>
    <row r="4" spans="3:4" ht="14.25" customHeight="1" x14ac:dyDescent="0.3"/>
    <row r="5" spans="3:4" ht="14.25" customHeight="1" x14ac:dyDescent="0.3">
      <c r="C5" s="2" t="s">
        <v>2</v>
      </c>
      <c r="D5" s="2" t="s">
        <v>3</v>
      </c>
    </row>
    <row r="6" spans="3:4" ht="14.25" customHeight="1" x14ac:dyDescent="0.3">
      <c r="C6" s="3">
        <v>1990</v>
      </c>
      <c r="D6" s="4">
        <v>2156</v>
      </c>
    </row>
    <row r="7" spans="3:4" ht="14.25" customHeight="1" x14ac:dyDescent="0.3">
      <c r="C7" s="3">
        <v>1991</v>
      </c>
      <c r="D7" s="4">
        <v>3562</v>
      </c>
    </row>
    <row r="8" spans="3:4" ht="14.25" customHeight="1" x14ac:dyDescent="0.3">
      <c r="C8" s="3">
        <v>1992</v>
      </c>
      <c r="D8" s="4">
        <v>7506</v>
      </c>
    </row>
    <row r="9" spans="3:4" ht="14.25" customHeight="1" x14ac:dyDescent="0.3">
      <c r="C9" s="3">
        <v>1993</v>
      </c>
      <c r="D9" s="4">
        <v>6258</v>
      </c>
    </row>
    <row r="10" spans="3:4" ht="14.25" customHeight="1" x14ac:dyDescent="0.3">
      <c r="C10" s="3">
        <v>1994</v>
      </c>
      <c r="D10" s="4">
        <v>6279</v>
      </c>
    </row>
    <row r="11" spans="3:4" ht="14.25" customHeight="1" x14ac:dyDescent="0.3">
      <c r="C11" s="3">
        <v>1995</v>
      </c>
      <c r="D11" s="4">
        <v>1963</v>
      </c>
    </row>
    <row r="12" spans="3:4" ht="14.25" customHeight="1" x14ac:dyDescent="0.3">
      <c r="C12" s="3">
        <v>1996</v>
      </c>
      <c r="D12" s="4">
        <v>6736</v>
      </c>
    </row>
    <row r="13" spans="3:4" ht="14.25" customHeight="1" x14ac:dyDescent="0.3">
      <c r="C13" s="3">
        <v>1997</v>
      </c>
      <c r="D13" s="4">
        <v>3280</v>
      </c>
    </row>
    <row r="14" spans="3:4" ht="14.25" customHeight="1" x14ac:dyDescent="0.3">
      <c r="C14" s="3">
        <v>1998</v>
      </c>
      <c r="D14" s="4">
        <v>8398</v>
      </c>
    </row>
    <row r="15" spans="3:4" ht="14.25" customHeight="1" x14ac:dyDescent="0.3">
      <c r="C15" s="3">
        <v>1999</v>
      </c>
      <c r="D15" s="4">
        <v>2882</v>
      </c>
    </row>
    <row r="16" spans="3:4" ht="14.25" customHeight="1" x14ac:dyDescent="0.3">
      <c r="C16" s="3">
        <v>2000</v>
      </c>
      <c r="D16" s="4">
        <v>4686</v>
      </c>
    </row>
    <row r="17" spans="3:4" ht="14.25" customHeight="1" x14ac:dyDescent="0.3">
      <c r="C17" s="3">
        <v>2001</v>
      </c>
      <c r="D17" s="4">
        <v>6976</v>
      </c>
    </row>
    <row r="18" spans="3:4" ht="14.25" customHeight="1" x14ac:dyDescent="0.3">
      <c r="C18" s="3">
        <v>2002</v>
      </c>
      <c r="D18" s="4">
        <v>2173</v>
      </c>
    </row>
    <row r="19" spans="3:4" ht="14.25" customHeight="1" x14ac:dyDescent="0.3">
      <c r="C19" s="3">
        <v>2003</v>
      </c>
      <c r="D19" s="4">
        <v>2166</v>
      </c>
    </row>
    <row r="20" spans="3:4" ht="14.25" customHeight="1" x14ac:dyDescent="0.3">
      <c r="C20" s="5">
        <v>2004</v>
      </c>
      <c r="D20" s="6">
        <v>8418</v>
      </c>
    </row>
    <row r="21" spans="3:4" ht="14.25" customHeight="1" x14ac:dyDescent="0.3"/>
    <row r="22" spans="3:4" ht="14.25" customHeight="1" x14ac:dyDescent="0.3">
      <c r="C22" s="18" t="s">
        <v>9</v>
      </c>
      <c r="D22" t="s">
        <v>8</v>
      </c>
    </row>
    <row r="23" spans="3:4" ht="14.25" customHeight="1" x14ac:dyDescent="0.3">
      <c r="C23" s="19">
        <v>1990</v>
      </c>
      <c r="D23" s="17">
        <v>2156</v>
      </c>
    </row>
    <row r="24" spans="3:4" ht="14.25" customHeight="1" x14ac:dyDescent="0.3">
      <c r="C24" s="19">
        <v>1991</v>
      </c>
      <c r="D24" s="17">
        <v>3562</v>
      </c>
    </row>
    <row r="25" spans="3:4" ht="14.25" customHeight="1" x14ac:dyDescent="0.3">
      <c r="C25" s="19">
        <v>1992</v>
      </c>
      <c r="D25" s="17">
        <v>7506</v>
      </c>
    </row>
    <row r="26" spans="3:4" ht="14.25" customHeight="1" x14ac:dyDescent="0.3">
      <c r="C26" s="19">
        <v>1993</v>
      </c>
      <c r="D26" s="17">
        <v>6258</v>
      </c>
    </row>
    <row r="27" spans="3:4" ht="14.25" customHeight="1" x14ac:dyDescent="0.3">
      <c r="C27" s="19">
        <v>1994</v>
      </c>
      <c r="D27" s="17">
        <v>6279</v>
      </c>
    </row>
    <row r="28" spans="3:4" ht="14.25" customHeight="1" x14ac:dyDescent="0.3">
      <c r="C28" s="19">
        <v>1995</v>
      </c>
      <c r="D28" s="17">
        <v>1963</v>
      </c>
    </row>
    <row r="29" spans="3:4" ht="14.25" customHeight="1" x14ac:dyDescent="0.3">
      <c r="C29" s="19">
        <v>1996</v>
      </c>
      <c r="D29" s="17">
        <v>6736</v>
      </c>
    </row>
    <row r="30" spans="3:4" ht="14.25" customHeight="1" x14ac:dyDescent="0.3">
      <c r="C30" s="19">
        <v>1997</v>
      </c>
      <c r="D30" s="17">
        <v>3280</v>
      </c>
    </row>
    <row r="31" spans="3:4" ht="14.25" customHeight="1" x14ac:dyDescent="0.3">
      <c r="C31" s="19">
        <v>1998</v>
      </c>
      <c r="D31" s="17">
        <v>8398</v>
      </c>
    </row>
    <row r="32" spans="3:4" ht="14.25" customHeight="1" x14ac:dyDescent="0.3">
      <c r="C32" s="19">
        <v>1999</v>
      </c>
      <c r="D32" s="17">
        <v>2882</v>
      </c>
    </row>
    <row r="33" spans="3:4" ht="14.25" customHeight="1" x14ac:dyDescent="0.3">
      <c r="C33" s="19">
        <v>2000</v>
      </c>
      <c r="D33" s="17">
        <v>4686</v>
      </c>
    </row>
    <row r="34" spans="3:4" ht="14.25" customHeight="1" x14ac:dyDescent="0.3">
      <c r="C34" s="19">
        <v>2001</v>
      </c>
      <c r="D34" s="17">
        <v>6976</v>
      </c>
    </row>
    <row r="35" spans="3:4" ht="14.25" customHeight="1" x14ac:dyDescent="0.3">
      <c r="C35" s="19">
        <v>2002</v>
      </c>
      <c r="D35" s="17">
        <v>2173</v>
      </c>
    </row>
    <row r="36" spans="3:4" ht="14.25" customHeight="1" x14ac:dyDescent="0.3">
      <c r="C36" s="19">
        <v>2003</v>
      </c>
      <c r="D36" s="17">
        <v>2166</v>
      </c>
    </row>
    <row r="37" spans="3:4" ht="14.25" customHeight="1" x14ac:dyDescent="0.3">
      <c r="C37" s="19">
        <v>2004</v>
      </c>
      <c r="D37" s="17">
        <v>8418</v>
      </c>
    </row>
    <row r="38" spans="3:4" ht="14.25" customHeight="1" x14ac:dyDescent="0.3">
      <c r="C38" s="19" t="s">
        <v>10</v>
      </c>
      <c r="D38" s="17">
        <v>73439</v>
      </c>
    </row>
    <row r="39" spans="3:4" ht="14.25" customHeight="1" x14ac:dyDescent="0.3"/>
    <row r="40" spans="3:4" ht="14.25" customHeight="1" x14ac:dyDescent="0.3"/>
    <row r="41" spans="3:4" ht="14.25" customHeight="1" x14ac:dyDescent="0.3"/>
    <row r="42" spans="3:4" ht="14.25" customHeight="1" x14ac:dyDescent="0.3"/>
    <row r="43" spans="3:4" ht="14.25" customHeight="1" x14ac:dyDescent="0.3"/>
    <row r="44" spans="3:4" ht="14.25" customHeight="1" x14ac:dyDescent="0.3"/>
    <row r="45" spans="3:4" ht="14.25" customHeight="1" x14ac:dyDescent="0.3"/>
    <row r="46" spans="3:4" ht="14.25" customHeight="1" x14ac:dyDescent="0.3"/>
    <row r="47" spans="3:4" ht="14.25" customHeight="1" x14ac:dyDescent="0.3"/>
    <row r="48" spans="3: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C1:F1000"/>
  <sheetViews>
    <sheetView tabSelected="1" zoomScale="57" zoomScaleNormal="68" workbookViewId="0">
      <selection activeCell="Y51" sqref="Y51"/>
    </sheetView>
  </sheetViews>
  <sheetFormatPr defaultColWidth="14.44140625" defaultRowHeight="15" customHeight="1" x14ac:dyDescent="0.3"/>
  <cols>
    <col min="1" max="1" width="8.6640625" customWidth="1"/>
    <col min="2" max="2" width="14.109375" bestFit="1" customWidth="1"/>
    <col min="3" max="3" width="13" bestFit="1" customWidth="1"/>
    <col min="4" max="4" width="12.88671875" bestFit="1" customWidth="1"/>
    <col min="5" max="5" width="13.109375" bestFit="1" customWidth="1"/>
    <col min="6" max="6" width="12.77734375" bestFit="1" customWidth="1"/>
    <col min="7" max="7" width="9.88671875" bestFit="1" customWidth="1"/>
    <col min="8" max="8" width="9.5546875" bestFit="1" customWidth="1"/>
    <col min="9" max="10" width="9.88671875" bestFit="1" customWidth="1"/>
    <col min="11" max="11" width="9.5546875" bestFit="1" customWidth="1"/>
    <col min="12" max="15" width="9.88671875" bestFit="1" customWidth="1"/>
    <col min="16" max="17" width="9.5546875" bestFit="1" customWidth="1"/>
    <col min="18" max="18" width="9.88671875" bestFit="1" customWidth="1"/>
    <col min="19" max="19" width="9.5546875" bestFit="1" customWidth="1"/>
    <col min="20" max="21" width="9.88671875" bestFit="1" customWidth="1"/>
    <col min="22" max="28" width="16.33203125" bestFit="1" customWidth="1"/>
    <col min="29" max="29" width="14.77734375" bestFit="1" customWidth="1"/>
    <col min="30" max="34" width="16.33203125" bestFit="1" customWidth="1"/>
    <col min="35" max="35" width="14.77734375" bestFit="1" customWidth="1"/>
    <col min="36" max="37" width="16.33203125" bestFit="1" customWidth="1"/>
    <col min="38" max="38" width="8.21875" bestFit="1" customWidth="1"/>
    <col min="39" max="39" width="9.88671875" bestFit="1" customWidth="1"/>
    <col min="40" max="40" width="27.77734375" bestFit="1" customWidth="1"/>
    <col min="41" max="56" width="8.21875" bestFit="1" customWidth="1"/>
    <col min="57" max="57" width="9.88671875" bestFit="1" customWidth="1"/>
    <col min="58" max="58" width="32.6640625" bestFit="1" customWidth="1"/>
    <col min="59" max="59" width="19.5546875" bestFit="1" customWidth="1"/>
    <col min="60" max="60" width="34.77734375" bestFit="1" customWidth="1"/>
  </cols>
  <sheetData>
    <row r="1" spans="3:6" ht="14.25" customHeight="1" x14ac:dyDescent="0.3"/>
    <row r="2" spans="3:6" ht="14.25" customHeight="1" x14ac:dyDescent="0.3">
      <c r="C2" s="1" t="s">
        <v>4</v>
      </c>
    </row>
    <row r="3" spans="3:6" ht="14.25" customHeight="1" x14ac:dyDescent="0.3">
      <c r="C3" s="1" t="s">
        <v>1</v>
      </c>
    </row>
    <row r="4" spans="3:6" ht="14.25" customHeight="1" x14ac:dyDescent="0.3"/>
    <row r="5" spans="3:6" ht="14.25" customHeight="1" x14ac:dyDescent="0.3">
      <c r="C5" s="7" t="s">
        <v>2</v>
      </c>
      <c r="D5" s="8" t="s">
        <v>3</v>
      </c>
      <c r="E5" s="8" t="s">
        <v>5</v>
      </c>
      <c r="F5" s="9" t="s">
        <v>6</v>
      </c>
    </row>
    <row r="6" spans="3:6" ht="14.25" customHeight="1" x14ac:dyDescent="0.3">
      <c r="C6" s="3">
        <v>2005</v>
      </c>
      <c r="D6" s="10">
        <v>528</v>
      </c>
      <c r="E6" s="11"/>
      <c r="F6" s="12"/>
    </row>
    <row r="7" spans="3:6" ht="14.25" customHeight="1" x14ac:dyDescent="0.3">
      <c r="C7" s="3">
        <v>2006</v>
      </c>
      <c r="D7" s="10">
        <v>4550</v>
      </c>
      <c r="E7" s="13">
        <f t="shared" ref="E7:E23" si="0">SUM($D$6:D7)</f>
        <v>5078</v>
      </c>
      <c r="F7" s="11">
        <f t="shared" ref="F7:F23" si="1">E7/$E$23</f>
        <v>6.5615712624370076E-2</v>
      </c>
    </row>
    <row r="8" spans="3:6" ht="14.25" customHeight="1" x14ac:dyDescent="0.3">
      <c r="C8" s="3">
        <v>2007</v>
      </c>
      <c r="D8" s="10">
        <v>8189</v>
      </c>
      <c r="E8" s="13">
        <f t="shared" si="0"/>
        <v>13267</v>
      </c>
      <c r="F8" s="11">
        <f t="shared" si="1"/>
        <v>0.17143041736658482</v>
      </c>
    </row>
    <row r="9" spans="3:6" ht="14.25" customHeight="1" x14ac:dyDescent="0.3">
      <c r="C9" s="3">
        <v>2008</v>
      </c>
      <c r="D9" s="10">
        <v>1730</v>
      </c>
      <c r="E9" s="13">
        <f t="shared" si="0"/>
        <v>14997</v>
      </c>
      <c r="F9" s="11">
        <f t="shared" si="1"/>
        <v>0.19378472670887711</v>
      </c>
    </row>
    <row r="10" spans="3:6" ht="14.25" customHeight="1" x14ac:dyDescent="0.3">
      <c r="C10" s="3">
        <v>2009</v>
      </c>
      <c r="D10" s="10">
        <v>5262</v>
      </c>
      <c r="E10" s="13">
        <f t="shared" si="0"/>
        <v>20259</v>
      </c>
      <c r="F10" s="11">
        <f t="shared" si="1"/>
        <v>0.26177800749450836</v>
      </c>
    </row>
    <row r="11" spans="3:6" ht="14.25" customHeight="1" x14ac:dyDescent="0.3">
      <c r="C11" s="3">
        <v>2010</v>
      </c>
      <c r="D11" s="10">
        <v>2172</v>
      </c>
      <c r="E11" s="13">
        <f t="shared" si="0"/>
        <v>22431</v>
      </c>
      <c r="F11" s="11">
        <f t="shared" si="1"/>
        <v>0.28984364905026488</v>
      </c>
    </row>
    <row r="12" spans="3:6" ht="14.25" customHeight="1" x14ac:dyDescent="0.3">
      <c r="C12" s="3">
        <v>2011</v>
      </c>
      <c r="D12" s="10">
        <v>4384</v>
      </c>
      <c r="E12" s="13">
        <f t="shared" si="0"/>
        <v>26815</v>
      </c>
      <c r="F12" s="11">
        <f t="shared" si="1"/>
        <v>0.34649179480553044</v>
      </c>
    </row>
    <row r="13" spans="3:6" ht="14.25" customHeight="1" x14ac:dyDescent="0.3">
      <c r="C13" s="3">
        <v>2012</v>
      </c>
      <c r="D13" s="10">
        <v>8709</v>
      </c>
      <c r="E13" s="13">
        <f t="shared" si="0"/>
        <v>35524</v>
      </c>
      <c r="F13" s="11">
        <f t="shared" si="1"/>
        <v>0.45902571391652669</v>
      </c>
    </row>
    <row r="14" spans="3:6" ht="14.25" customHeight="1" x14ac:dyDescent="0.3">
      <c r="C14" s="3">
        <v>2013</v>
      </c>
      <c r="D14" s="10">
        <v>3618</v>
      </c>
      <c r="E14" s="13">
        <f t="shared" si="0"/>
        <v>39142</v>
      </c>
      <c r="F14" s="11">
        <f t="shared" si="1"/>
        <v>0.50577594004393334</v>
      </c>
    </row>
    <row r="15" spans="3:6" ht="14.25" customHeight="1" x14ac:dyDescent="0.3">
      <c r="C15" s="3">
        <v>2014</v>
      </c>
      <c r="D15" s="10">
        <v>6372</v>
      </c>
      <c r="E15" s="13">
        <f t="shared" si="0"/>
        <v>45514</v>
      </c>
      <c r="F15" s="11">
        <f t="shared" si="1"/>
        <v>0.58811215919369431</v>
      </c>
    </row>
    <row r="16" spans="3:6" ht="14.25" customHeight="1" x14ac:dyDescent="0.3">
      <c r="C16" s="3">
        <v>2015</v>
      </c>
      <c r="D16" s="10">
        <v>3456</v>
      </c>
      <c r="E16" s="13">
        <f t="shared" si="0"/>
        <v>48970</v>
      </c>
      <c r="F16" s="11">
        <f t="shared" si="1"/>
        <v>0.6327690916139036</v>
      </c>
    </row>
    <row r="17" spans="3:6" ht="14.25" customHeight="1" x14ac:dyDescent="0.3">
      <c r="C17" s="3">
        <v>2016</v>
      </c>
      <c r="D17" s="10">
        <v>7478</v>
      </c>
      <c r="E17" s="13">
        <f t="shared" si="0"/>
        <v>56448</v>
      </c>
      <c r="F17" s="11">
        <f t="shared" si="1"/>
        <v>0.72939656286341903</v>
      </c>
    </row>
    <row r="18" spans="3:6" ht="14.25" customHeight="1" x14ac:dyDescent="0.3">
      <c r="C18" s="3">
        <v>2017</v>
      </c>
      <c r="D18" s="10">
        <v>4649</v>
      </c>
      <c r="E18" s="13">
        <f t="shared" si="0"/>
        <v>61097</v>
      </c>
      <c r="F18" s="11">
        <f t="shared" si="1"/>
        <v>0.78946892363354437</v>
      </c>
    </row>
    <row r="19" spans="3:6" ht="14.25" customHeight="1" x14ac:dyDescent="0.3">
      <c r="C19" s="3">
        <v>2018</v>
      </c>
      <c r="D19" s="10">
        <v>5831</v>
      </c>
      <c r="E19" s="13">
        <f t="shared" si="0"/>
        <v>66928</v>
      </c>
      <c r="F19" s="11">
        <f t="shared" si="1"/>
        <v>0.86481457552655383</v>
      </c>
    </row>
    <row r="20" spans="3:6" ht="14.25" customHeight="1" x14ac:dyDescent="0.3">
      <c r="C20" s="3">
        <v>2019</v>
      </c>
      <c r="D20" s="10">
        <v>1599</v>
      </c>
      <c r="E20" s="13">
        <f t="shared" si="0"/>
        <v>68527</v>
      </c>
      <c r="F20" s="11">
        <f t="shared" si="1"/>
        <v>0.88547615971055693</v>
      </c>
    </row>
    <row r="21" spans="3:6" ht="14.25" customHeight="1" x14ac:dyDescent="0.3">
      <c r="C21" s="3">
        <v>2020</v>
      </c>
      <c r="D21" s="10">
        <v>3695</v>
      </c>
      <c r="E21" s="13">
        <f t="shared" si="0"/>
        <v>72222</v>
      </c>
      <c r="F21" s="11">
        <f t="shared" si="1"/>
        <v>0.93322134642718702</v>
      </c>
    </row>
    <row r="22" spans="3:6" ht="14.25" customHeight="1" x14ac:dyDescent="0.3">
      <c r="C22" s="3">
        <v>2021</v>
      </c>
      <c r="D22" s="10">
        <v>1678</v>
      </c>
      <c r="E22" s="13">
        <f t="shared" si="0"/>
        <v>73900</v>
      </c>
      <c r="F22" s="11">
        <f t="shared" si="1"/>
        <v>0.95490373433260112</v>
      </c>
    </row>
    <row r="23" spans="3:6" ht="14.25" customHeight="1" x14ac:dyDescent="0.3">
      <c r="C23" s="5">
        <v>2022</v>
      </c>
      <c r="D23" s="14">
        <v>3490</v>
      </c>
      <c r="E23" s="13">
        <f t="shared" si="0"/>
        <v>77390</v>
      </c>
      <c r="F23" s="11">
        <f t="shared" si="1"/>
        <v>1</v>
      </c>
    </row>
    <row r="24" spans="3:6" ht="14.25" customHeight="1" x14ac:dyDescent="0.3"/>
    <row r="25" spans="3:6" ht="14.25" customHeight="1" x14ac:dyDescent="0.3">
      <c r="C25" s="15" t="s">
        <v>7</v>
      </c>
      <c r="D25" s="16">
        <f>SUM(D6:D23)</f>
        <v>77390</v>
      </c>
    </row>
    <row r="26" spans="3:6" ht="14.25" customHeight="1" x14ac:dyDescent="0.3"/>
    <row r="27" spans="3:6" ht="14.25" customHeight="1" x14ac:dyDescent="0.3"/>
    <row r="28" spans="3:6" ht="14.25" customHeight="1" x14ac:dyDescent="0.3"/>
    <row r="29" spans="3:6" ht="14.25" customHeight="1" x14ac:dyDescent="0.3"/>
    <row r="30" spans="3:6" ht="14.25" customHeight="1" x14ac:dyDescent="0.3">
      <c r="C30" s="18" t="s">
        <v>9</v>
      </c>
      <c r="D30" t="s">
        <v>11</v>
      </c>
      <c r="E30" t="s">
        <v>12</v>
      </c>
    </row>
    <row r="31" spans="3:6" ht="14.25" customHeight="1" x14ac:dyDescent="0.3">
      <c r="C31" s="19">
        <v>2005</v>
      </c>
      <c r="D31" s="20">
        <v>528</v>
      </c>
      <c r="E31" s="23"/>
    </row>
    <row r="32" spans="3:6" ht="14.25" customHeight="1" x14ac:dyDescent="0.3">
      <c r="C32" s="19">
        <v>2006</v>
      </c>
      <c r="D32" s="20">
        <v>4550</v>
      </c>
      <c r="E32" s="21">
        <v>6.5615712624370076E-2</v>
      </c>
    </row>
    <row r="33" spans="3:5" ht="14.25" customHeight="1" x14ac:dyDescent="0.3">
      <c r="C33" s="19">
        <v>2007</v>
      </c>
      <c r="D33" s="20">
        <v>8189</v>
      </c>
      <c r="E33" s="21">
        <v>0.17143041736658482</v>
      </c>
    </row>
    <row r="34" spans="3:5" ht="14.25" customHeight="1" x14ac:dyDescent="0.3">
      <c r="C34" s="19">
        <v>2008</v>
      </c>
      <c r="D34" s="20">
        <v>1730</v>
      </c>
      <c r="E34" s="21">
        <v>0.19378472670887711</v>
      </c>
    </row>
    <row r="35" spans="3:5" ht="14.25" customHeight="1" x14ac:dyDescent="0.3">
      <c r="C35" s="19">
        <v>2009</v>
      </c>
      <c r="D35" s="20">
        <v>5262</v>
      </c>
      <c r="E35" s="21">
        <v>0.26177800749450836</v>
      </c>
    </row>
    <row r="36" spans="3:5" ht="14.25" customHeight="1" x14ac:dyDescent="0.3">
      <c r="C36" s="19">
        <v>2010</v>
      </c>
      <c r="D36" s="20">
        <v>2172</v>
      </c>
      <c r="E36" s="21">
        <v>0.28984364905026488</v>
      </c>
    </row>
    <row r="37" spans="3:5" ht="14.25" customHeight="1" x14ac:dyDescent="0.3">
      <c r="C37" s="19">
        <v>2011</v>
      </c>
      <c r="D37" s="20">
        <v>4384</v>
      </c>
      <c r="E37" s="21">
        <v>0.34649179480553044</v>
      </c>
    </row>
    <row r="38" spans="3:5" ht="14.25" customHeight="1" x14ac:dyDescent="0.3">
      <c r="C38" s="19">
        <v>2012</v>
      </c>
      <c r="D38" s="20">
        <v>8709</v>
      </c>
      <c r="E38" s="21">
        <v>0.45902571391652669</v>
      </c>
    </row>
    <row r="39" spans="3:5" ht="14.25" customHeight="1" x14ac:dyDescent="0.3">
      <c r="C39" s="19">
        <v>2013</v>
      </c>
      <c r="D39" s="20">
        <v>3618</v>
      </c>
      <c r="E39" s="21">
        <v>0.50577594004393334</v>
      </c>
    </row>
    <row r="40" spans="3:5" ht="14.25" customHeight="1" x14ac:dyDescent="0.3">
      <c r="C40" s="19">
        <v>2014</v>
      </c>
      <c r="D40" s="20">
        <v>6372</v>
      </c>
      <c r="E40" s="21">
        <v>0.58811215919369431</v>
      </c>
    </row>
    <row r="41" spans="3:5" ht="14.25" customHeight="1" x14ac:dyDescent="0.3">
      <c r="C41" s="19">
        <v>2015</v>
      </c>
      <c r="D41" s="20">
        <v>3456</v>
      </c>
      <c r="E41" s="21">
        <v>0.6327690916139036</v>
      </c>
    </row>
    <row r="42" spans="3:5" ht="14.25" customHeight="1" x14ac:dyDescent="0.3">
      <c r="C42" s="19">
        <v>2016</v>
      </c>
      <c r="D42" s="20">
        <v>7478</v>
      </c>
      <c r="E42" s="21">
        <v>0.72939656286341903</v>
      </c>
    </row>
    <row r="43" spans="3:5" ht="14.25" customHeight="1" x14ac:dyDescent="0.3">
      <c r="C43" s="19">
        <v>2017</v>
      </c>
      <c r="D43" s="20">
        <v>4649</v>
      </c>
      <c r="E43" s="21">
        <v>0.78946892363354437</v>
      </c>
    </row>
    <row r="44" spans="3:5" ht="14.25" customHeight="1" x14ac:dyDescent="0.3">
      <c r="C44" s="19">
        <v>2018</v>
      </c>
      <c r="D44" s="20">
        <v>5831</v>
      </c>
      <c r="E44" s="21">
        <v>0.86481457552655383</v>
      </c>
    </row>
    <row r="45" spans="3:5" ht="14.25" customHeight="1" x14ac:dyDescent="0.3">
      <c r="C45" s="19">
        <v>2019</v>
      </c>
      <c r="D45" s="20">
        <v>1599</v>
      </c>
      <c r="E45" s="21">
        <v>0.88547615971055693</v>
      </c>
    </row>
    <row r="46" spans="3:5" ht="14.25" customHeight="1" x14ac:dyDescent="0.3">
      <c r="C46" s="19">
        <v>2020</v>
      </c>
      <c r="D46" s="20">
        <v>3695</v>
      </c>
      <c r="E46" s="21">
        <v>0.93322134642718702</v>
      </c>
    </row>
    <row r="47" spans="3:5" ht="14.25" customHeight="1" x14ac:dyDescent="0.3">
      <c r="C47" s="19">
        <v>2021</v>
      </c>
      <c r="D47" s="20">
        <v>1678</v>
      </c>
      <c r="E47" s="21">
        <v>0.95490373433260112</v>
      </c>
    </row>
    <row r="48" spans="3:5" ht="14.25" customHeight="1" x14ac:dyDescent="0.3">
      <c r="C48" s="19">
        <v>2022</v>
      </c>
      <c r="D48" s="20">
        <v>3490</v>
      </c>
      <c r="E48" s="21">
        <v>1</v>
      </c>
    </row>
    <row r="49" spans="3:5" ht="14.25" customHeight="1" x14ac:dyDescent="0.3">
      <c r="C49" s="19" t="s">
        <v>10</v>
      </c>
      <c r="D49" s="20">
        <v>77390</v>
      </c>
      <c r="E49" s="22">
        <v>9.6719085153120563</v>
      </c>
    </row>
    <row r="50" spans="3:5" ht="14.25" customHeight="1" x14ac:dyDescent="0.3"/>
    <row r="51" spans="3:5" ht="14.25" customHeight="1" x14ac:dyDescent="0.3"/>
    <row r="52" spans="3:5" ht="14.25" customHeight="1" x14ac:dyDescent="0.3"/>
    <row r="53" spans="3:5" ht="14.25" customHeight="1" x14ac:dyDescent="0.3"/>
    <row r="54" spans="3:5" ht="14.25" customHeight="1" x14ac:dyDescent="0.3"/>
    <row r="55" spans="3:5" ht="14.25" customHeight="1" x14ac:dyDescent="0.3"/>
    <row r="56" spans="3:5" ht="14.25" customHeight="1" x14ac:dyDescent="0.3"/>
    <row r="57" spans="3:5" ht="14.25" customHeight="1" x14ac:dyDescent="0.3"/>
    <row r="58" spans="3:5" ht="14.25" customHeight="1" x14ac:dyDescent="0.3"/>
    <row r="59" spans="3:5" ht="14.25" customHeight="1" x14ac:dyDescent="0.3"/>
    <row r="60" spans="3:5" ht="14.25" customHeight="1" x14ac:dyDescent="0.3"/>
    <row r="61" spans="3:5" ht="14.25" customHeight="1" x14ac:dyDescent="0.3"/>
    <row r="62" spans="3:5" ht="14.25" customHeight="1" x14ac:dyDescent="0.3"/>
    <row r="63" spans="3:5" ht="14.25" customHeight="1" x14ac:dyDescent="0.3"/>
    <row r="64" spans="3:5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Charts1</vt:lpstr>
      <vt:lpstr>Charts2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Sarvadny Thube</cp:lastModifiedBy>
  <dcterms:created xsi:type="dcterms:W3CDTF">2022-07-29T06:27:39Z</dcterms:created>
  <dcterms:modified xsi:type="dcterms:W3CDTF">2025-10-02T14:32:29Z</dcterms:modified>
</cp:coreProperties>
</file>