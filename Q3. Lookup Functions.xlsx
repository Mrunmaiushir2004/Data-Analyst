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RVADNYA\Excel\ExcelR Assignment\Excel Assignment\"/>
    </mc:Choice>
  </mc:AlternateContent>
  <xr:revisionPtr revIDLastSave="0" documentId="13_ncr:1_{43D26B9D-69D2-42DA-9B09-387B7359803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dex&amp;Match" sheetId="1" r:id="rId1"/>
    <sheet name="Master Emp sheet" sheetId="2" r:id="rId2"/>
    <sheet name="Source" sheetId="3" r:id="rId3"/>
  </sheets>
  <definedNames>
    <definedName name="data">Source!$C$5:$F$40</definedName>
    <definedName name="header">Source!$C$5:$F$5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I7" i="2" l="1"/>
  <c r="O11" i="1"/>
  <c r="O10" i="1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7" i="2"/>
  <c r="J7" i="2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J38" i="2"/>
  <c r="K38" i="2"/>
  <c r="J39" i="2"/>
  <c r="K39" i="2"/>
  <c r="J40" i="2"/>
  <c r="K40" i="2"/>
  <c r="J41" i="2"/>
  <c r="K41" i="2"/>
  <c r="J42" i="2"/>
  <c r="K42" i="2"/>
  <c r="J43" i="2"/>
  <c r="K43" i="2"/>
  <c r="J44" i="2"/>
  <c r="K44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</calcChain>
</file>

<file path=xl/sharedStrings.xml><?xml version="1.0" encoding="utf-8"?>
<sst xmlns="http://schemas.openxmlformats.org/spreadsheetml/2006/main" count="641" uniqueCount="104">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</sst>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3" fillId="2" borderId="3" xfId="0" applyFont="1" applyFill="1" applyBorder="1" applyAlignment="1">
      <alignment horizontal="left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1000"/>
  <sheetViews>
    <sheetView workbookViewId="0">
      <selection activeCell="O12" sqref="O12"/>
    </sheetView>
  </sheetViews>
  <sheetFormatPr defaultColWidth="14.44140625" defaultRowHeight="15" customHeight="1"/>
  <cols>
    <col min="1" max="5" width="8.6640625" customWidth="1"/>
    <col min="6" max="6" width="9.88671875" customWidth="1"/>
    <col min="7" max="10" width="8.6640625" customWidth="1"/>
    <col min="11" max="11" width="10.6640625" customWidth="1"/>
    <col min="12" max="12" width="8.6640625" customWidth="1"/>
    <col min="13" max="13" width="38" customWidth="1"/>
    <col min="14" max="14" width="13" customWidth="1"/>
    <col min="15" max="15" width="17.33203125" customWidth="1"/>
    <col min="16" max="26" width="8.6640625" customWidth="1"/>
  </cols>
  <sheetData>
    <row r="1" spans="3:15" ht="14.25" customHeight="1"/>
    <row r="2" spans="3:15" ht="14.25" customHeight="1"/>
    <row r="3" spans="3:15" ht="14.25" customHeight="1"/>
    <row r="4" spans="3:15" ht="14.25" customHeight="1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5" ht="14.25" customHeight="1">
      <c r="C5" s="2">
        <v>150940</v>
      </c>
      <c r="D5" s="3" t="s">
        <v>22</v>
      </c>
      <c r="E5" s="3" t="s">
        <v>23</v>
      </c>
      <c r="F5" s="4">
        <v>26906</v>
      </c>
      <c r="G5" s="5" t="s">
        <v>24</v>
      </c>
      <c r="H5" s="3" t="s">
        <v>17</v>
      </c>
      <c r="I5" s="3" t="s">
        <v>25</v>
      </c>
      <c r="J5" s="3" t="s">
        <v>26</v>
      </c>
      <c r="K5" s="6">
        <v>87000</v>
      </c>
    </row>
    <row r="6" spans="3:15" ht="14.25" customHeight="1">
      <c r="C6" s="2">
        <v>150905</v>
      </c>
      <c r="D6" s="3" t="s">
        <v>61</v>
      </c>
      <c r="E6" s="3" t="s">
        <v>62</v>
      </c>
      <c r="F6" s="4">
        <v>30819</v>
      </c>
      <c r="G6" s="5" t="s">
        <v>11</v>
      </c>
      <c r="H6" s="3" t="s">
        <v>17</v>
      </c>
      <c r="I6" s="3" t="s">
        <v>13</v>
      </c>
      <c r="J6" s="3" t="s">
        <v>26</v>
      </c>
      <c r="K6" s="6">
        <v>62000</v>
      </c>
    </row>
    <row r="7" spans="3:15" ht="14.25" customHeight="1">
      <c r="C7" s="2">
        <v>150784</v>
      </c>
      <c r="D7" s="3" t="s">
        <v>15</v>
      </c>
      <c r="E7" s="3" t="s">
        <v>16</v>
      </c>
      <c r="F7" s="4">
        <v>28365</v>
      </c>
      <c r="G7" s="5" t="s">
        <v>11</v>
      </c>
      <c r="H7" s="3" t="s">
        <v>17</v>
      </c>
      <c r="I7" s="3" t="s">
        <v>18</v>
      </c>
      <c r="J7" s="3" t="s">
        <v>14</v>
      </c>
      <c r="K7" s="6">
        <v>35000</v>
      </c>
      <c r="M7" s="7" t="s">
        <v>21</v>
      </c>
    </row>
    <row r="8" spans="3:15" ht="14.25" customHeight="1">
      <c r="C8" s="2">
        <v>150821</v>
      </c>
      <c r="D8" s="3" t="s">
        <v>99</v>
      </c>
      <c r="E8" s="3" t="s">
        <v>100</v>
      </c>
      <c r="F8" s="4">
        <v>29966</v>
      </c>
      <c r="G8" s="5" t="s">
        <v>24</v>
      </c>
      <c r="H8" s="3" t="s">
        <v>17</v>
      </c>
      <c r="I8" s="3" t="s">
        <v>54</v>
      </c>
      <c r="J8" s="3" t="s">
        <v>14</v>
      </c>
      <c r="K8" s="6">
        <v>26000</v>
      </c>
    </row>
    <row r="9" spans="3:15" ht="14.25" customHeight="1">
      <c r="C9" s="2">
        <v>150881</v>
      </c>
      <c r="D9" s="3" t="s">
        <v>41</v>
      </c>
      <c r="E9" s="3" t="s">
        <v>42</v>
      </c>
      <c r="F9" s="4">
        <v>30337</v>
      </c>
      <c r="G9" s="5" t="s">
        <v>24</v>
      </c>
      <c r="H9" s="3" t="s">
        <v>17</v>
      </c>
      <c r="I9" s="3" t="s">
        <v>18</v>
      </c>
      <c r="J9" s="3" t="s">
        <v>43</v>
      </c>
      <c r="K9" s="6">
        <v>92000</v>
      </c>
      <c r="M9" s="10" t="s">
        <v>30</v>
      </c>
      <c r="N9" s="11"/>
      <c r="O9" s="8" t="s">
        <v>31</v>
      </c>
    </row>
    <row r="10" spans="3:15" ht="14.25" customHeight="1">
      <c r="C10" s="2">
        <v>150851</v>
      </c>
      <c r="D10" s="3" t="s">
        <v>71</v>
      </c>
      <c r="E10" s="3" t="s">
        <v>72</v>
      </c>
      <c r="F10" s="4">
        <v>29368</v>
      </c>
      <c r="G10" s="5" t="s">
        <v>24</v>
      </c>
      <c r="H10" s="3" t="s">
        <v>17</v>
      </c>
      <c r="I10" s="3" t="s">
        <v>25</v>
      </c>
      <c r="J10" s="3" t="s">
        <v>43</v>
      </c>
      <c r="K10" s="6">
        <v>75000</v>
      </c>
      <c r="M10" s="8" t="s">
        <v>34</v>
      </c>
      <c r="N10" s="8"/>
      <c r="O10" s="6" t="str">
        <f>VLOOKUP(MAX($K$5:$K$42),CHOOSE({1,2},$K$5:$K$42,$D$5:$D$42),2,FALSE)</f>
        <v>Dinesh</v>
      </c>
    </row>
    <row r="11" spans="3:15" ht="14.25" customHeight="1">
      <c r="C11" s="2">
        <v>150867</v>
      </c>
      <c r="D11" s="3" t="s">
        <v>73</v>
      </c>
      <c r="E11" s="3" t="s">
        <v>74</v>
      </c>
      <c r="F11" s="4">
        <v>29028</v>
      </c>
      <c r="G11" s="5" t="s">
        <v>11</v>
      </c>
      <c r="H11" s="3" t="s">
        <v>17</v>
      </c>
      <c r="I11" s="3" t="s">
        <v>70</v>
      </c>
      <c r="J11" s="3" t="s">
        <v>43</v>
      </c>
      <c r="K11" s="6">
        <v>49000</v>
      </c>
      <c r="M11" s="8" t="s">
        <v>39</v>
      </c>
      <c r="N11" s="6"/>
      <c r="O11" s="6" t="str">
        <f>VLOOKUP(MIN($K$5:$K$42),CHOOSE({1,2},$K$5:$K$42,$D$5:$D$42),2,FALSE)</f>
        <v>Satish</v>
      </c>
    </row>
    <row r="12" spans="3:15" ht="14.25" customHeight="1">
      <c r="C12" s="2">
        <v>150962</v>
      </c>
      <c r="D12" s="3" t="s">
        <v>88</v>
      </c>
      <c r="E12" s="3" t="s">
        <v>89</v>
      </c>
      <c r="F12" s="4">
        <v>37773</v>
      </c>
      <c r="G12" s="5" t="s">
        <v>11</v>
      </c>
      <c r="H12" s="3" t="s">
        <v>12</v>
      </c>
      <c r="I12" s="3" t="s">
        <v>33</v>
      </c>
      <c r="J12" s="3" t="s">
        <v>26</v>
      </c>
      <c r="K12" s="6">
        <v>87000</v>
      </c>
    </row>
    <row r="13" spans="3:15" ht="14.25" customHeight="1">
      <c r="C13" s="2">
        <v>150947</v>
      </c>
      <c r="D13" s="3" t="s">
        <v>59</v>
      </c>
      <c r="E13" s="3" t="s">
        <v>60</v>
      </c>
      <c r="F13" s="4">
        <v>33449</v>
      </c>
      <c r="G13" s="5" t="s">
        <v>11</v>
      </c>
      <c r="H13" s="3" t="s">
        <v>12</v>
      </c>
      <c r="I13" s="3" t="s">
        <v>54</v>
      </c>
      <c r="J13" s="3" t="s">
        <v>26</v>
      </c>
      <c r="K13" s="6">
        <v>85000</v>
      </c>
    </row>
    <row r="14" spans="3:15" ht="14.25" customHeight="1">
      <c r="C14" s="2">
        <v>150930</v>
      </c>
      <c r="D14" s="3" t="s">
        <v>55</v>
      </c>
      <c r="E14" s="3" t="s">
        <v>56</v>
      </c>
      <c r="F14" s="4">
        <v>37027</v>
      </c>
      <c r="G14" s="5" t="s">
        <v>24</v>
      </c>
      <c r="H14" s="3" t="s">
        <v>12</v>
      </c>
      <c r="I14" s="3" t="s">
        <v>18</v>
      </c>
      <c r="J14" s="3" t="s">
        <v>26</v>
      </c>
      <c r="K14" s="6">
        <v>82000</v>
      </c>
    </row>
    <row r="15" spans="3:15" ht="14.25" customHeight="1">
      <c r="C15" s="2">
        <v>150912</v>
      </c>
      <c r="D15" s="3" t="s">
        <v>65</v>
      </c>
      <c r="E15" s="3" t="s">
        <v>66</v>
      </c>
      <c r="F15" s="4">
        <v>37629</v>
      </c>
      <c r="G15" s="5" t="s">
        <v>11</v>
      </c>
      <c r="H15" s="3" t="s">
        <v>12</v>
      </c>
      <c r="I15" s="3" t="s">
        <v>67</v>
      </c>
      <c r="J15" s="3" t="s">
        <v>26</v>
      </c>
      <c r="K15" s="6">
        <v>81000</v>
      </c>
    </row>
    <row r="16" spans="3:15" ht="14.25" customHeight="1">
      <c r="C16" s="2">
        <v>150894</v>
      </c>
      <c r="D16" s="3" t="s">
        <v>57</v>
      </c>
      <c r="E16" s="3" t="s">
        <v>58</v>
      </c>
      <c r="F16" s="4">
        <v>37124</v>
      </c>
      <c r="G16" s="5" t="s">
        <v>24</v>
      </c>
      <c r="H16" s="3" t="s">
        <v>12</v>
      </c>
      <c r="I16" s="3" t="s">
        <v>25</v>
      </c>
      <c r="J16" s="3" t="s">
        <v>26</v>
      </c>
      <c r="K16" s="6">
        <v>67000</v>
      </c>
    </row>
    <row r="17" spans="3:11" ht="14.25" customHeight="1">
      <c r="C17" s="2">
        <v>150968</v>
      </c>
      <c r="D17" s="3" t="s">
        <v>82</v>
      </c>
      <c r="E17" s="3" t="s">
        <v>83</v>
      </c>
      <c r="F17" s="4">
        <v>37208</v>
      </c>
      <c r="G17" s="5" t="s">
        <v>24</v>
      </c>
      <c r="H17" s="3" t="s">
        <v>12</v>
      </c>
      <c r="I17" s="3" t="s">
        <v>67</v>
      </c>
      <c r="J17" s="3" t="s">
        <v>26</v>
      </c>
      <c r="K17" s="6">
        <v>65000</v>
      </c>
    </row>
    <row r="18" spans="3:11" ht="14.25" customHeight="1">
      <c r="C18" s="2">
        <v>150929</v>
      </c>
      <c r="D18" s="3" t="s">
        <v>95</v>
      </c>
      <c r="E18" s="3" t="s">
        <v>96</v>
      </c>
      <c r="F18" s="4">
        <v>26739</v>
      </c>
      <c r="G18" s="5" t="s">
        <v>24</v>
      </c>
      <c r="H18" s="3" t="s">
        <v>12</v>
      </c>
      <c r="I18" s="3" t="s">
        <v>29</v>
      </c>
      <c r="J18" s="3" t="s">
        <v>26</v>
      </c>
      <c r="K18" s="6">
        <v>58000</v>
      </c>
    </row>
    <row r="19" spans="3:11" ht="14.25" customHeight="1">
      <c r="C19" s="2">
        <v>150954</v>
      </c>
      <c r="D19" s="3" t="s">
        <v>90</v>
      </c>
      <c r="E19" s="3" t="s">
        <v>89</v>
      </c>
      <c r="F19" s="4">
        <v>35495</v>
      </c>
      <c r="G19" s="5" t="s">
        <v>11</v>
      </c>
      <c r="H19" s="3" t="s">
        <v>12</v>
      </c>
      <c r="I19" s="3" t="s">
        <v>81</v>
      </c>
      <c r="J19" s="3" t="s">
        <v>26</v>
      </c>
      <c r="K19" s="6">
        <v>57000</v>
      </c>
    </row>
    <row r="20" spans="3:11" ht="14.25" customHeight="1">
      <c r="C20" s="2">
        <v>150901</v>
      </c>
      <c r="D20" s="3" t="s">
        <v>79</v>
      </c>
      <c r="E20" s="3" t="s">
        <v>80</v>
      </c>
      <c r="F20" s="4">
        <v>32946</v>
      </c>
      <c r="G20" s="5" t="s">
        <v>11</v>
      </c>
      <c r="H20" s="3" t="s">
        <v>12</v>
      </c>
      <c r="I20" s="3" t="s">
        <v>81</v>
      </c>
      <c r="J20" s="3" t="s">
        <v>26</v>
      </c>
      <c r="K20" s="6">
        <v>53000</v>
      </c>
    </row>
    <row r="21" spans="3:11" ht="14.25" customHeight="1">
      <c r="C21" s="2">
        <v>150899</v>
      </c>
      <c r="D21" s="3" t="s">
        <v>75</v>
      </c>
      <c r="E21" s="3" t="s">
        <v>76</v>
      </c>
      <c r="F21" s="4">
        <v>37400</v>
      </c>
      <c r="G21" s="5" t="s">
        <v>24</v>
      </c>
      <c r="H21" s="3" t="s">
        <v>12</v>
      </c>
      <c r="I21" s="3" t="s">
        <v>54</v>
      </c>
      <c r="J21" s="3" t="s">
        <v>26</v>
      </c>
      <c r="K21" s="6">
        <v>50000</v>
      </c>
    </row>
    <row r="22" spans="3:11" ht="14.25" customHeight="1">
      <c r="C22" s="2">
        <v>150937</v>
      </c>
      <c r="D22" s="3" t="s">
        <v>46</v>
      </c>
      <c r="E22" s="3" t="s">
        <v>47</v>
      </c>
      <c r="F22" s="4">
        <v>24700</v>
      </c>
      <c r="G22" s="5" t="s">
        <v>24</v>
      </c>
      <c r="H22" s="3" t="s">
        <v>12</v>
      </c>
      <c r="I22" s="3" t="s">
        <v>37</v>
      </c>
      <c r="J22" s="3" t="s">
        <v>26</v>
      </c>
      <c r="K22" s="6">
        <v>37000</v>
      </c>
    </row>
    <row r="23" spans="3:11" ht="14.25" customHeight="1">
      <c r="C23" s="2">
        <v>150921</v>
      </c>
      <c r="D23" s="3" t="s">
        <v>68</v>
      </c>
      <c r="E23" s="3" t="s">
        <v>69</v>
      </c>
      <c r="F23" s="4">
        <v>38092</v>
      </c>
      <c r="G23" s="5" t="s">
        <v>24</v>
      </c>
      <c r="H23" s="3" t="s">
        <v>12</v>
      </c>
      <c r="I23" s="3" t="s">
        <v>70</v>
      </c>
      <c r="J23" s="3" t="s">
        <v>26</v>
      </c>
      <c r="K23" s="6">
        <v>19000</v>
      </c>
    </row>
    <row r="24" spans="3:11" ht="14.25" customHeight="1">
      <c r="C24" s="2">
        <v>150805</v>
      </c>
      <c r="D24" s="3" t="s">
        <v>19</v>
      </c>
      <c r="E24" s="3" t="s">
        <v>32</v>
      </c>
      <c r="F24" s="4">
        <v>26172</v>
      </c>
      <c r="G24" s="5" t="s">
        <v>24</v>
      </c>
      <c r="H24" s="3" t="s">
        <v>12</v>
      </c>
      <c r="I24" s="3" t="s">
        <v>33</v>
      </c>
      <c r="J24" s="3" t="s">
        <v>14</v>
      </c>
      <c r="K24" s="6">
        <v>91000</v>
      </c>
    </row>
    <row r="25" spans="3:11" ht="14.25" customHeight="1">
      <c r="C25" s="2">
        <v>150773</v>
      </c>
      <c r="D25" s="3" t="s">
        <v>84</v>
      </c>
      <c r="E25" s="3" t="s">
        <v>85</v>
      </c>
      <c r="F25" s="4">
        <v>26860</v>
      </c>
      <c r="G25" s="5" t="s">
        <v>24</v>
      </c>
      <c r="H25" s="3" t="s">
        <v>12</v>
      </c>
      <c r="I25" s="3" t="s">
        <v>70</v>
      </c>
      <c r="J25" s="3" t="s">
        <v>14</v>
      </c>
      <c r="K25" s="6">
        <v>85000</v>
      </c>
    </row>
    <row r="26" spans="3:11" ht="14.25" customHeight="1">
      <c r="C26" s="2">
        <v>150798</v>
      </c>
      <c r="D26" s="3" t="s">
        <v>92</v>
      </c>
      <c r="E26" s="3" t="s">
        <v>89</v>
      </c>
      <c r="F26" s="4">
        <v>28276</v>
      </c>
      <c r="G26" s="5" t="s">
        <v>11</v>
      </c>
      <c r="H26" s="3" t="s">
        <v>12</v>
      </c>
      <c r="I26" s="3" t="s">
        <v>18</v>
      </c>
      <c r="J26" s="3" t="s">
        <v>14</v>
      </c>
      <c r="K26" s="6">
        <v>81000</v>
      </c>
    </row>
    <row r="27" spans="3:11" ht="14.25" customHeight="1">
      <c r="C27" s="2">
        <v>150791</v>
      </c>
      <c r="D27" s="3" t="s">
        <v>19</v>
      </c>
      <c r="E27" s="3" t="s">
        <v>20</v>
      </c>
      <c r="F27" s="4">
        <v>23346</v>
      </c>
      <c r="G27" s="5" t="s">
        <v>11</v>
      </c>
      <c r="H27" s="3" t="s">
        <v>12</v>
      </c>
      <c r="I27" s="3" t="s">
        <v>18</v>
      </c>
      <c r="J27" s="3" t="s">
        <v>14</v>
      </c>
      <c r="K27" s="6">
        <v>67000</v>
      </c>
    </row>
    <row r="28" spans="3:11" ht="14.25" customHeight="1">
      <c r="C28" s="2">
        <v>150830</v>
      </c>
      <c r="D28" s="3" t="s">
        <v>93</v>
      </c>
      <c r="E28" s="3" t="s">
        <v>94</v>
      </c>
      <c r="F28" s="4">
        <v>29037</v>
      </c>
      <c r="G28" s="5" t="s">
        <v>11</v>
      </c>
      <c r="H28" s="3" t="s">
        <v>12</v>
      </c>
      <c r="I28" s="3" t="s">
        <v>81</v>
      </c>
      <c r="J28" s="3" t="s">
        <v>14</v>
      </c>
      <c r="K28" s="6">
        <v>52000</v>
      </c>
    </row>
    <row r="29" spans="3:11" ht="14.25" customHeight="1">
      <c r="C29" s="2">
        <v>150814</v>
      </c>
      <c r="D29" s="3" t="s">
        <v>44</v>
      </c>
      <c r="E29" s="3" t="s">
        <v>45</v>
      </c>
      <c r="F29" s="4">
        <v>26246</v>
      </c>
      <c r="G29" s="5" t="s">
        <v>24</v>
      </c>
      <c r="H29" s="3" t="s">
        <v>12</v>
      </c>
      <c r="I29" s="3" t="s">
        <v>25</v>
      </c>
      <c r="J29" s="3" t="s">
        <v>14</v>
      </c>
      <c r="K29" s="6">
        <v>50000</v>
      </c>
    </row>
    <row r="30" spans="3:11" ht="14.25" customHeight="1">
      <c r="C30" s="2">
        <v>150834</v>
      </c>
      <c r="D30" s="3" t="s">
        <v>9</v>
      </c>
      <c r="E30" s="3" t="s">
        <v>10</v>
      </c>
      <c r="F30" s="4">
        <v>31199</v>
      </c>
      <c r="G30" s="5" t="s">
        <v>11</v>
      </c>
      <c r="H30" s="3" t="s">
        <v>12</v>
      </c>
      <c r="I30" s="3" t="s">
        <v>13</v>
      </c>
      <c r="J30" s="3" t="s">
        <v>14</v>
      </c>
      <c r="K30" s="6">
        <v>48000</v>
      </c>
    </row>
    <row r="31" spans="3:11" ht="14.25" customHeight="1">
      <c r="C31" s="2">
        <v>150777</v>
      </c>
      <c r="D31" s="3" t="s">
        <v>27</v>
      </c>
      <c r="E31" s="3" t="s">
        <v>28</v>
      </c>
      <c r="F31" s="4">
        <v>21123</v>
      </c>
      <c r="G31" s="5" t="s">
        <v>24</v>
      </c>
      <c r="H31" s="3" t="s">
        <v>12</v>
      </c>
      <c r="I31" s="3" t="s">
        <v>29</v>
      </c>
      <c r="J31" s="3" t="s">
        <v>14</v>
      </c>
      <c r="K31" s="6">
        <v>22000</v>
      </c>
    </row>
    <row r="32" spans="3:11" ht="14.25" customHeight="1">
      <c r="C32" s="2">
        <v>150975</v>
      </c>
      <c r="D32" s="3" t="s">
        <v>77</v>
      </c>
      <c r="E32" s="3" t="s">
        <v>78</v>
      </c>
      <c r="F32" s="4">
        <v>31478</v>
      </c>
      <c r="G32" s="5" t="s">
        <v>24</v>
      </c>
      <c r="H32" s="3" t="s">
        <v>12</v>
      </c>
      <c r="I32" s="3" t="s">
        <v>70</v>
      </c>
      <c r="J32" s="3" t="s">
        <v>38</v>
      </c>
      <c r="K32" s="6">
        <v>83000</v>
      </c>
    </row>
    <row r="33" spans="3:11" ht="14.25" customHeight="1">
      <c r="C33" s="2">
        <v>150990</v>
      </c>
      <c r="D33" s="3" t="s">
        <v>35</v>
      </c>
      <c r="E33" s="3" t="s">
        <v>36</v>
      </c>
      <c r="F33" s="4">
        <v>36400</v>
      </c>
      <c r="G33" s="5" t="s">
        <v>24</v>
      </c>
      <c r="H33" s="3" t="s">
        <v>12</v>
      </c>
      <c r="I33" s="3" t="s">
        <v>37</v>
      </c>
      <c r="J33" s="3" t="s">
        <v>38</v>
      </c>
      <c r="K33" s="6">
        <v>77000</v>
      </c>
    </row>
    <row r="34" spans="3:11" ht="14.25" customHeight="1">
      <c r="C34" s="2">
        <v>150982</v>
      </c>
      <c r="D34" s="3" t="s">
        <v>97</v>
      </c>
      <c r="E34" s="3" t="s">
        <v>98</v>
      </c>
      <c r="F34" s="4">
        <v>35574</v>
      </c>
      <c r="G34" s="5" t="s">
        <v>24</v>
      </c>
      <c r="H34" s="3" t="s">
        <v>12</v>
      </c>
      <c r="I34" s="3" t="s">
        <v>29</v>
      </c>
      <c r="J34" s="3" t="s">
        <v>38</v>
      </c>
      <c r="K34" s="6">
        <v>47000</v>
      </c>
    </row>
    <row r="35" spans="3:11" ht="14.25" customHeight="1">
      <c r="C35" s="2">
        <v>150989</v>
      </c>
      <c r="D35" s="3" t="s">
        <v>40</v>
      </c>
      <c r="E35" s="3" t="s">
        <v>36</v>
      </c>
      <c r="F35" s="4">
        <v>33113</v>
      </c>
      <c r="G35" s="5" t="s">
        <v>24</v>
      </c>
      <c r="H35" s="3" t="s">
        <v>12</v>
      </c>
      <c r="I35" s="3" t="s">
        <v>18</v>
      </c>
      <c r="J35" s="3" t="s">
        <v>38</v>
      </c>
      <c r="K35" s="6">
        <v>45000</v>
      </c>
    </row>
    <row r="36" spans="3:11" ht="14.25" customHeight="1">
      <c r="C36" s="2">
        <v>150995</v>
      </c>
      <c r="D36" s="3" t="s">
        <v>63</v>
      </c>
      <c r="E36" s="3" t="s">
        <v>64</v>
      </c>
      <c r="F36" s="4">
        <v>35330</v>
      </c>
      <c r="G36" s="5" t="s">
        <v>24</v>
      </c>
      <c r="H36" s="3" t="s">
        <v>12</v>
      </c>
      <c r="I36" s="3" t="s">
        <v>25</v>
      </c>
      <c r="J36" s="3" t="s">
        <v>38</v>
      </c>
      <c r="K36" s="6">
        <v>15000</v>
      </c>
    </row>
    <row r="37" spans="3:11" ht="14.25" customHeight="1">
      <c r="C37" s="2">
        <v>150865</v>
      </c>
      <c r="D37" s="3" t="s">
        <v>50</v>
      </c>
      <c r="E37" s="3" t="s">
        <v>49</v>
      </c>
      <c r="F37" s="4">
        <v>31279</v>
      </c>
      <c r="G37" s="5" t="s">
        <v>11</v>
      </c>
      <c r="H37" s="3" t="s">
        <v>12</v>
      </c>
      <c r="I37" s="3" t="s">
        <v>51</v>
      </c>
      <c r="J37" s="3" t="s">
        <v>43</v>
      </c>
      <c r="K37" s="6">
        <v>90000</v>
      </c>
    </row>
    <row r="38" spans="3:11" ht="14.25" customHeight="1">
      <c r="C38" s="2">
        <v>150850</v>
      </c>
      <c r="D38" s="3" t="s">
        <v>46</v>
      </c>
      <c r="E38" s="3" t="s">
        <v>87</v>
      </c>
      <c r="F38" s="4">
        <v>32027</v>
      </c>
      <c r="G38" s="5" t="s">
        <v>24</v>
      </c>
      <c r="H38" s="3" t="s">
        <v>12</v>
      </c>
      <c r="I38" s="3" t="s">
        <v>54</v>
      </c>
      <c r="J38" s="3" t="s">
        <v>43</v>
      </c>
      <c r="K38" s="6">
        <v>47000</v>
      </c>
    </row>
    <row r="39" spans="3:11" ht="14.25" customHeight="1">
      <c r="C39" s="2">
        <v>150888</v>
      </c>
      <c r="D39" s="3" t="s">
        <v>48</v>
      </c>
      <c r="E39" s="3" t="s">
        <v>49</v>
      </c>
      <c r="F39" s="4">
        <v>29221</v>
      </c>
      <c r="G39" s="5" t="s">
        <v>24</v>
      </c>
      <c r="H39" s="3" t="s">
        <v>12</v>
      </c>
      <c r="I39" s="3" t="s">
        <v>37</v>
      </c>
      <c r="J39" s="3" t="s">
        <v>43</v>
      </c>
      <c r="K39" s="6">
        <v>43000</v>
      </c>
    </row>
    <row r="40" spans="3:11" ht="14.25" customHeight="1">
      <c r="C40" s="2">
        <v>150858</v>
      </c>
      <c r="D40" s="3" t="s">
        <v>52</v>
      </c>
      <c r="E40" s="3" t="s">
        <v>53</v>
      </c>
      <c r="F40" s="4">
        <v>34846</v>
      </c>
      <c r="G40" s="5" t="s">
        <v>24</v>
      </c>
      <c r="H40" s="3" t="s">
        <v>12</v>
      </c>
      <c r="I40" s="3" t="s">
        <v>54</v>
      </c>
      <c r="J40" s="3" t="s">
        <v>43</v>
      </c>
      <c r="K40" s="6">
        <v>34000</v>
      </c>
    </row>
    <row r="41" spans="3:11" ht="14.25" customHeight="1">
      <c r="C41" s="2">
        <v>150874</v>
      </c>
      <c r="D41" s="3" t="s">
        <v>91</v>
      </c>
      <c r="E41" s="3" t="s">
        <v>89</v>
      </c>
      <c r="F41" s="4">
        <v>37890</v>
      </c>
      <c r="G41" s="5" t="s">
        <v>11</v>
      </c>
      <c r="H41" s="3" t="s">
        <v>12</v>
      </c>
      <c r="I41" s="3" t="s">
        <v>29</v>
      </c>
      <c r="J41" s="3" t="s">
        <v>43</v>
      </c>
      <c r="K41" s="6">
        <v>27000</v>
      </c>
    </row>
    <row r="42" spans="3:11" ht="14.25" customHeight="1">
      <c r="C42" s="2">
        <v>150840</v>
      </c>
      <c r="D42" s="3" t="s">
        <v>55</v>
      </c>
      <c r="E42" s="3" t="s">
        <v>86</v>
      </c>
      <c r="F42" s="4">
        <v>23136</v>
      </c>
      <c r="G42" s="5" t="s">
        <v>11</v>
      </c>
      <c r="H42" s="3" t="s">
        <v>12</v>
      </c>
      <c r="I42" s="3" t="s">
        <v>25</v>
      </c>
      <c r="J42" s="3" t="s">
        <v>43</v>
      </c>
      <c r="K42" s="6">
        <v>20000</v>
      </c>
    </row>
    <row r="43" spans="3:11" ht="14.25" customHeight="1"/>
    <row r="44" spans="3:11" ht="14.25" customHeight="1"/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sortState xmlns:xlrd2="http://schemas.microsoft.com/office/spreadsheetml/2017/richdata2" ref="C5:K42">
    <sortCondition descending="1" ref="H12:H42"/>
  </sortState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U1000"/>
  <sheetViews>
    <sheetView tabSelected="1" topLeftCell="E38" workbookViewId="0">
      <selection activeCell="I7" sqref="I7"/>
    </sheetView>
  </sheetViews>
  <sheetFormatPr defaultColWidth="14.44140625" defaultRowHeight="15" customHeight="1"/>
  <cols>
    <col min="1" max="3" width="8.6640625" customWidth="1"/>
    <col min="4" max="4" width="64.6640625" customWidth="1"/>
    <col min="5" max="5" width="8.6640625" customWidth="1"/>
    <col min="6" max="6" width="9.88671875" customWidth="1"/>
    <col min="7" max="9" width="8.6640625" customWidth="1"/>
    <col min="10" max="10" width="11.6640625" customWidth="1"/>
    <col min="11" max="11" width="11.44140625" customWidth="1"/>
    <col min="12" max="12" width="8.6640625" customWidth="1"/>
    <col min="13" max="13" width="7.44140625" bestFit="1" customWidth="1"/>
    <col min="14" max="15" width="13.21875" bestFit="1" customWidth="1"/>
    <col min="16" max="16" width="9.88671875" bestFit="1" customWidth="1"/>
    <col min="17" max="17" width="7.109375" bestFit="1" customWidth="1"/>
    <col min="18" max="18" width="9" bestFit="1" customWidth="1"/>
    <col min="19" max="19" width="8.77734375" bestFit="1" customWidth="1"/>
    <col min="20" max="20" width="21.33203125" bestFit="1" customWidth="1"/>
    <col min="21" max="21" width="10.77734375" bestFit="1" customWidth="1"/>
    <col min="22" max="26" width="8.6640625" customWidth="1"/>
  </cols>
  <sheetData>
    <row r="1" spans="3:21" ht="14.25" customHeight="1"/>
    <row r="2" spans="3:21" ht="14.25" customHeight="1">
      <c r="D2" s="9" t="s">
        <v>101</v>
      </c>
    </row>
    <row r="3" spans="3:21" ht="14.25" customHeight="1">
      <c r="D3" s="9" t="s">
        <v>102</v>
      </c>
    </row>
    <row r="4" spans="3:21" ht="14.25" customHeight="1">
      <c r="D4" s="9" t="s">
        <v>103</v>
      </c>
    </row>
    <row r="5" spans="3:21" ht="14.25" customHeight="1"/>
    <row r="6" spans="3:21" ht="14.25" customHeight="1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" t="s">
        <v>6</v>
      </c>
      <c r="K6" s="1" t="s">
        <v>8</v>
      </c>
      <c r="M6" s="1" t="s">
        <v>0</v>
      </c>
      <c r="N6" s="1" t="s">
        <v>1</v>
      </c>
      <c r="O6" s="1" t="s">
        <v>2</v>
      </c>
      <c r="P6" s="1" t="s">
        <v>3</v>
      </c>
      <c r="Q6" s="1" t="s">
        <v>4</v>
      </c>
      <c r="R6" s="1" t="s">
        <v>5</v>
      </c>
      <c r="S6" s="1" t="s">
        <v>7</v>
      </c>
      <c r="T6" s="1" t="s">
        <v>6</v>
      </c>
      <c r="U6" s="1" t="s">
        <v>8</v>
      </c>
    </row>
    <row r="7" spans="3:21" ht="14.25" customHeight="1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s="6" t="str">
        <f>VLOOKUP($C7,data,MATCH(I$6,header,0),FALSE)</f>
        <v>North</v>
      </c>
      <c r="J7" s="6" t="str">
        <f t="shared" ref="I7:K26" si="0">VLOOKUP($C7,data,MATCH(J$6,header,0),FALSE)</f>
        <v>FLM</v>
      </c>
      <c r="K7" s="6">
        <f t="shared" si="0"/>
        <v>48000</v>
      </c>
      <c r="M7" s="2">
        <v>150834</v>
      </c>
      <c r="N7" s="3" t="s">
        <v>9</v>
      </c>
      <c r="O7" s="3" t="s">
        <v>10</v>
      </c>
      <c r="P7" s="4">
        <v>31199</v>
      </c>
      <c r="Q7" s="5" t="s">
        <v>11</v>
      </c>
      <c r="R7" s="3" t="s">
        <v>12</v>
      </c>
      <c r="S7" s="6" t="str">
        <f>_xlfn.XLOOKUP(M7,Source!C6:C40,Source!E6:E40,"-Retired")</f>
        <v>North</v>
      </c>
      <c r="T7" s="6" t="str">
        <f>_xlfn.XLOOKUP(M7,Source!C6:C40,Source!D6:D40,"Retired")</f>
        <v>FLM</v>
      </c>
      <c r="U7" s="6">
        <f>_xlfn.XLOOKUP(M7,Source!C6:C40,Source!F6:F40,"Retired")</f>
        <v>48000</v>
      </c>
    </row>
    <row r="8" spans="3:21" ht="14.25" customHeight="1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s="6" t="str">
        <f t="shared" si="0"/>
        <v>North</v>
      </c>
      <c r="J8" s="6" t="str">
        <f t="shared" si="0"/>
        <v>Digital Marketing</v>
      </c>
      <c r="K8" s="6">
        <f t="shared" si="0"/>
        <v>35000</v>
      </c>
      <c r="M8" s="2">
        <v>150784</v>
      </c>
      <c r="N8" s="3" t="s">
        <v>15</v>
      </c>
      <c r="O8" s="3" t="s">
        <v>16</v>
      </c>
      <c r="P8" s="4">
        <v>28365</v>
      </c>
      <c r="Q8" s="5" t="s">
        <v>11</v>
      </c>
      <c r="R8" s="3" t="s">
        <v>17</v>
      </c>
      <c r="S8" s="6" t="str">
        <f>_xlfn.XLOOKUP(M8,Source!C7:C41,Source!E7:E41,"-Retired")</f>
        <v>North</v>
      </c>
      <c r="T8" s="6" t="str">
        <f>_xlfn.XLOOKUP(M8,Source!C7:C41,Source!D7:D41,"Retired")</f>
        <v>Digital Marketing</v>
      </c>
      <c r="U8" s="6">
        <f>_xlfn.XLOOKUP(M8,Source!C7:C41,Source!F7:F41,"Retired")</f>
        <v>35000</v>
      </c>
    </row>
    <row r="9" spans="3:21" ht="14.25" customHeight="1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s="6" t="str">
        <f t="shared" si="0"/>
        <v>North</v>
      </c>
      <c r="J9" s="6" t="str">
        <f t="shared" si="0"/>
        <v>Digital Marketing</v>
      </c>
      <c r="K9" s="6">
        <f t="shared" si="0"/>
        <v>67000</v>
      </c>
      <c r="M9" s="2">
        <v>150791</v>
      </c>
      <c r="N9" s="3" t="s">
        <v>19</v>
      </c>
      <c r="O9" s="3" t="s">
        <v>20</v>
      </c>
      <c r="P9" s="4">
        <v>23346</v>
      </c>
      <c r="Q9" s="5" t="s">
        <v>11</v>
      </c>
      <c r="R9" s="3" t="s">
        <v>12</v>
      </c>
      <c r="S9" s="6" t="str">
        <f>_xlfn.XLOOKUP(M9,Source!C8:C42,Source!E8:E42,"-Retired")</f>
        <v>North</v>
      </c>
      <c r="T9" s="6" t="str">
        <f>_xlfn.XLOOKUP(M9,Source!C8:C42,Source!D8:D42,"Retired")</f>
        <v>Digital Marketing</v>
      </c>
      <c r="U9" s="6">
        <f>_xlfn.XLOOKUP(M9,Source!C8:C42,Source!F8:F42,"Retired")</f>
        <v>67000</v>
      </c>
    </row>
    <row r="10" spans="3:21" ht="14.25" customHeight="1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s="6" t="str">
        <f t="shared" si="0"/>
        <v>South</v>
      </c>
      <c r="J10" s="6" t="str">
        <f t="shared" si="0"/>
        <v>Inside Sales</v>
      </c>
      <c r="K10" s="6">
        <f t="shared" si="0"/>
        <v>87000</v>
      </c>
      <c r="M10" s="2">
        <v>150940</v>
      </c>
      <c r="N10" s="3" t="s">
        <v>22</v>
      </c>
      <c r="O10" s="3" t="s">
        <v>23</v>
      </c>
      <c r="P10" s="4">
        <v>26906</v>
      </c>
      <c r="Q10" s="5" t="s">
        <v>24</v>
      </c>
      <c r="R10" s="3" t="s">
        <v>17</v>
      </c>
      <c r="S10" s="6" t="str">
        <f>_xlfn.XLOOKUP(M10,Source!C9:C43,Source!E9:E43,"-Retired")</f>
        <v>South</v>
      </c>
      <c r="T10" s="6" t="str">
        <f>_xlfn.XLOOKUP(M10,Source!C9:C43,Source!D9:D43,"Retired")</f>
        <v>Inside Sales</v>
      </c>
      <c r="U10" s="6">
        <f>_xlfn.XLOOKUP(M10,Source!C9:C43,Source!F9:F43,"Retired")</f>
        <v>87000</v>
      </c>
    </row>
    <row r="11" spans="3:21" ht="14.25" customHeight="1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s="6" t="str">
        <f t="shared" si="0"/>
        <v>North</v>
      </c>
      <c r="J11" s="6" t="str">
        <f t="shared" si="0"/>
        <v>Marketing</v>
      </c>
      <c r="K11" s="6">
        <f t="shared" si="0"/>
        <v>22000</v>
      </c>
      <c r="M11" s="2">
        <v>150777</v>
      </c>
      <c r="N11" s="3" t="s">
        <v>27</v>
      </c>
      <c r="O11" s="3" t="s">
        <v>28</v>
      </c>
      <c r="P11" s="4">
        <v>21123</v>
      </c>
      <c r="Q11" s="5" t="s">
        <v>24</v>
      </c>
      <c r="R11" s="3" t="s">
        <v>12</v>
      </c>
      <c r="S11" s="6" t="str">
        <f>_xlfn.XLOOKUP(M11,Source!C10:C44,Source!E10:E44,"-Retired")</f>
        <v>-Retired</v>
      </c>
      <c r="T11" s="6" t="str">
        <f>_xlfn.XLOOKUP(M11,Source!C10:C44,Source!D10:D44,"Retired")</f>
        <v>Retired</v>
      </c>
      <c r="U11" s="6" t="str">
        <f>_xlfn.XLOOKUP(M11,Source!C10:C44,Source!F10:F44,"Retired")</f>
        <v>Retired</v>
      </c>
    </row>
    <row r="12" spans="3:21" ht="14.25" customHeight="1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s="6" t="str">
        <f t="shared" si="0"/>
        <v>North</v>
      </c>
      <c r="J12" s="6" t="str">
        <f t="shared" si="0"/>
        <v>Director</v>
      </c>
      <c r="K12" s="6">
        <f t="shared" si="0"/>
        <v>91000</v>
      </c>
      <c r="M12" s="2">
        <v>150805</v>
      </c>
      <c r="N12" s="3" t="s">
        <v>19</v>
      </c>
      <c r="O12" s="3" t="s">
        <v>32</v>
      </c>
      <c r="P12" s="4">
        <v>26172</v>
      </c>
      <c r="Q12" s="5" t="s">
        <v>24</v>
      </c>
      <c r="R12" s="3" t="s">
        <v>12</v>
      </c>
      <c r="S12" s="6" t="str">
        <f>_xlfn.XLOOKUP(M12,Source!C11:C45,Source!E11:E45,"-Retired")</f>
        <v>North</v>
      </c>
      <c r="T12" s="6" t="str">
        <f>_xlfn.XLOOKUP(M12,Source!C11:C45,Source!D11:D45,"Retired")</f>
        <v>Director</v>
      </c>
      <c r="U12" s="6">
        <f>_xlfn.XLOOKUP(M12,Source!C11:C45,Source!F11:F45,"Retired")</f>
        <v>91000</v>
      </c>
    </row>
    <row r="13" spans="3:21" ht="14.25" customHeight="1">
      <c r="C13" s="2">
        <v>150990</v>
      </c>
      <c r="D13" s="3" t="s">
        <v>35</v>
      </c>
      <c r="E13" s="3" t="s">
        <v>36</v>
      </c>
      <c r="F13" s="4">
        <v>36400</v>
      </c>
      <c r="G13" s="5" t="s">
        <v>24</v>
      </c>
      <c r="H13" s="3" t="s">
        <v>12</v>
      </c>
      <c r="I13" s="6" t="str">
        <f t="shared" si="0"/>
        <v>Mid West</v>
      </c>
      <c r="J13" s="6" t="str">
        <f t="shared" si="0"/>
        <v>Learning &amp; Development</v>
      </c>
      <c r="K13" s="6">
        <f t="shared" si="0"/>
        <v>77000</v>
      </c>
      <c r="M13" s="2">
        <v>150990</v>
      </c>
      <c r="N13" s="3" t="s">
        <v>35</v>
      </c>
      <c r="O13" s="3" t="s">
        <v>36</v>
      </c>
      <c r="P13" s="4">
        <v>36400</v>
      </c>
      <c r="Q13" s="5" t="s">
        <v>24</v>
      </c>
      <c r="R13" s="3" t="s">
        <v>12</v>
      </c>
      <c r="S13" s="6" t="str">
        <f>_xlfn.XLOOKUP(M13,Source!C12:C46,Source!E12:E46,"-Retired")</f>
        <v>Mid West</v>
      </c>
      <c r="T13" s="6" t="str">
        <f>_xlfn.XLOOKUP(M13,Source!C12:C46,Source!D12:D46,"Retired")</f>
        <v>Learning &amp; Development</v>
      </c>
      <c r="U13" s="6">
        <f>_xlfn.XLOOKUP(M13,Source!C12:C46,Source!F12:F46,"Retired")</f>
        <v>77000</v>
      </c>
    </row>
    <row r="14" spans="3:21" ht="14.25" customHeight="1">
      <c r="C14" s="2">
        <v>150989</v>
      </c>
      <c r="D14" s="3" t="s">
        <v>40</v>
      </c>
      <c r="E14" s="3" t="s">
        <v>36</v>
      </c>
      <c r="F14" s="4">
        <v>33113</v>
      </c>
      <c r="G14" s="5" t="s">
        <v>24</v>
      </c>
      <c r="H14" s="3" t="s">
        <v>12</v>
      </c>
      <c r="I14" s="6" t="str">
        <f t="shared" si="0"/>
        <v>Mid West</v>
      </c>
      <c r="J14" s="6" t="str">
        <f t="shared" si="0"/>
        <v>Digital Marketing</v>
      </c>
      <c r="K14" s="6">
        <f t="shared" si="0"/>
        <v>45000</v>
      </c>
      <c r="M14" s="2">
        <v>150989</v>
      </c>
      <c r="N14" s="3" t="s">
        <v>40</v>
      </c>
      <c r="O14" s="3" t="s">
        <v>36</v>
      </c>
      <c r="P14" s="4">
        <v>33113</v>
      </c>
      <c r="Q14" s="5" t="s">
        <v>24</v>
      </c>
      <c r="R14" s="3" t="s">
        <v>12</v>
      </c>
      <c r="S14" s="6" t="str">
        <f>_xlfn.XLOOKUP(M14,Source!C13:C47,Source!E13:E47,"-Retired")</f>
        <v>Mid West</v>
      </c>
      <c r="T14" s="6" t="str">
        <f>_xlfn.XLOOKUP(M14,Source!C13:C47,Source!D13:D47,"Retired")</f>
        <v>Digital Marketing</v>
      </c>
      <c r="U14" s="6">
        <f>_xlfn.XLOOKUP(M14,Source!C13:C47,Source!F13:F47,"Retired")</f>
        <v>45000</v>
      </c>
    </row>
    <row r="15" spans="3:21" ht="14.25" customHeight="1">
      <c r="C15" s="2">
        <v>150881</v>
      </c>
      <c r="D15" s="3" t="s">
        <v>41</v>
      </c>
      <c r="E15" s="3" t="s">
        <v>42</v>
      </c>
      <c r="F15" s="4">
        <v>30337</v>
      </c>
      <c r="G15" s="5" t="s">
        <v>24</v>
      </c>
      <c r="H15" s="3" t="s">
        <v>17</v>
      </c>
      <c r="I15" s="6" t="str">
        <f t="shared" si="0"/>
        <v>East</v>
      </c>
      <c r="J15" s="6" t="str">
        <f t="shared" si="0"/>
        <v>Digital Marketing</v>
      </c>
      <c r="K15" s="6">
        <f t="shared" si="0"/>
        <v>92000</v>
      </c>
      <c r="M15" s="2">
        <v>150881</v>
      </c>
      <c r="N15" s="3" t="s">
        <v>41</v>
      </c>
      <c r="O15" s="3" t="s">
        <v>42</v>
      </c>
      <c r="P15" s="4">
        <v>30337</v>
      </c>
      <c r="Q15" s="5" t="s">
        <v>24</v>
      </c>
      <c r="R15" s="3" t="s">
        <v>17</v>
      </c>
      <c r="S15" s="6" t="str">
        <f>_xlfn.XLOOKUP(M15,Source!C14:C48,Source!E14:E48,"-Retired")</f>
        <v>East</v>
      </c>
      <c r="T15" s="6" t="str">
        <f>_xlfn.XLOOKUP(M15,Source!C14:C48,Source!D14:D48,"Retired")</f>
        <v>Digital Marketing</v>
      </c>
      <c r="U15" s="6">
        <f>_xlfn.XLOOKUP(M15,Source!C14:C48,Source!F14:F48,"Retired")</f>
        <v>92000</v>
      </c>
    </row>
    <row r="16" spans="3:21" ht="14.25" customHeight="1">
      <c r="C16" s="2">
        <v>150814</v>
      </c>
      <c r="D16" s="3" t="s">
        <v>44</v>
      </c>
      <c r="E16" s="3" t="s">
        <v>45</v>
      </c>
      <c r="F16" s="4">
        <v>26246</v>
      </c>
      <c r="G16" s="5" t="s">
        <v>24</v>
      </c>
      <c r="H16" s="3" t="s">
        <v>12</v>
      </c>
      <c r="I16" s="6" t="str">
        <f t="shared" si="0"/>
        <v>North</v>
      </c>
      <c r="J16" s="6" t="str">
        <f t="shared" si="0"/>
        <v>Inside Sales</v>
      </c>
      <c r="K16" s="6">
        <f t="shared" si="0"/>
        <v>50000</v>
      </c>
      <c r="M16" s="2">
        <v>150814</v>
      </c>
      <c r="N16" s="3" t="s">
        <v>44</v>
      </c>
      <c r="O16" s="3" t="s">
        <v>45</v>
      </c>
      <c r="P16" s="4">
        <v>26246</v>
      </c>
      <c r="Q16" s="5" t="s">
        <v>24</v>
      </c>
      <c r="R16" s="3" t="s">
        <v>12</v>
      </c>
      <c r="S16" s="6" t="str">
        <f>_xlfn.XLOOKUP(M16,Source!C15:C49,Source!E15:E49,"-Retired")</f>
        <v>-Retired</v>
      </c>
      <c r="T16" s="6" t="str">
        <f>_xlfn.XLOOKUP(M16,Source!C15:C49,Source!D15:D49,"Retired")</f>
        <v>Retired</v>
      </c>
      <c r="U16" s="6" t="str">
        <f>_xlfn.XLOOKUP(M16,Source!C15:C49,Source!F15:F49,"Retired")</f>
        <v>Retired</v>
      </c>
    </row>
    <row r="17" spans="3:21" ht="14.25" customHeight="1">
      <c r="C17" s="2">
        <v>150937</v>
      </c>
      <c r="D17" s="3" t="s">
        <v>46</v>
      </c>
      <c r="E17" s="3" t="s">
        <v>47</v>
      </c>
      <c r="F17" s="4">
        <v>24700</v>
      </c>
      <c r="G17" s="5" t="s">
        <v>24</v>
      </c>
      <c r="H17" s="3" t="s">
        <v>12</v>
      </c>
      <c r="I17" s="6" t="str">
        <f t="shared" si="0"/>
        <v>South</v>
      </c>
      <c r="J17" s="6" t="str">
        <f t="shared" si="0"/>
        <v>Learning &amp; Development</v>
      </c>
      <c r="K17" s="6">
        <f t="shared" si="0"/>
        <v>37000</v>
      </c>
      <c r="M17" s="2">
        <v>150937</v>
      </c>
      <c r="N17" s="3" t="s">
        <v>46</v>
      </c>
      <c r="O17" s="3" t="s">
        <v>47</v>
      </c>
      <c r="P17" s="4">
        <v>24700</v>
      </c>
      <c r="Q17" s="5" t="s">
        <v>24</v>
      </c>
      <c r="R17" s="3" t="s">
        <v>12</v>
      </c>
      <c r="S17" s="6" t="str">
        <f>_xlfn.XLOOKUP(M17,Source!C16:C50,Source!E16:E50,"-Retired")</f>
        <v>South</v>
      </c>
      <c r="T17" s="6" t="str">
        <f>_xlfn.XLOOKUP(M17,Source!C16:C50,Source!D16:D50,"Retired")</f>
        <v>Learning &amp; Development</v>
      </c>
      <c r="U17" s="6">
        <f>_xlfn.XLOOKUP(M17,Source!C16:C50,Source!F16:F50,"Retired")</f>
        <v>37000</v>
      </c>
    </row>
    <row r="18" spans="3:21" ht="14.25" customHeight="1">
      <c r="C18" s="2">
        <v>150888</v>
      </c>
      <c r="D18" s="3" t="s">
        <v>48</v>
      </c>
      <c r="E18" s="3" t="s">
        <v>49</v>
      </c>
      <c r="F18" s="4">
        <v>29221</v>
      </c>
      <c r="G18" s="5" t="s">
        <v>24</v>
      </c>
      <c r="H18" s="3" t="s">
        <v>12</v>
      </c>
      <c r="I18" s="6" t="str">
        <f t="shared" si="0"/>
        <v>East</v>
      </c>
      <c r="J18" s="6" t="str">
        <f t="shared" si="0"/>
        <v>Learning &amp; Development</v>
      </c>
      <c r="K18" s="6">
        <f t="shared" si="0"/>
        <v>43000</v>
      </c>
      <c r="M18" s="2">
        <v>150888</v>
      </c>
      <c r="N18" s="3" t="s">
        <v>48</v>
      </c>
      <c r="O18" s="3" t="s">
        <v>49</v>
      </c>
      <c r="P18" s="4">
        <v>29221</v>
      </c>
      <c r="Q18" s="5" t="s">
        <v>24</v>
      </c>
      <c r="R18" s="3" t="s">
        <v>12</v>
      </c>
      <c r="S18" s="6" t="str">
        <f>_xlfn.XLOOKUP(M18,Source!C17:C51,Source!E17:E51,"-Retired")</f>
        <v>East</v>
      </c>
      <c r="T18" s="6" t="str">
        <f>_xlfn.XLOOKUP(M18,Source!C17:C51,Source!D17:D51,"Retired")</f>
        <v>Learning &amp; Development</v>
      </c>
      <c r="U18" s="6">
        <f>_xlfn.XLOOKUP(M18,Source!C17:C51,Source!F17:F51,"Retired")</f>
        <v>43000</v>
      </c>
    </row>
    <row r="19" spans="3:21" ht="14.25" customHeight="1">
      <c r="C19" s="2">
        <v>150865</v>
      </c>
      <c r="D19" s="3" t="s">
        <v>50</v>
      </c>
      <c r="E19" s="3" t="s">
        <v>49</v>
      </c>
      <c r="F19" s="4">
        <v>31279</v>
      </c>
      <c r="G19" s="5" t="s">
        <v>11</v>
      </c>
      <c r="H19" s="3" t="s">
        <v>12</v>
      </c>
      <c r="I19" s="6" t="str">
        <f t="shared" si="0"/>
        <v>East</v>
      </c>
      <c r="J19" s="6" t="str">
        <f t="shared" si="0"/>
        <v>CEO</v>
      </c>
      <c r="K19" s="6">
        <f t="shared" si="0"/>
        <v>90000</v>
      </c>
      <c r="M19" s="2">
        <v>150865</v>
      </c>
      <c r="N19" s="3" t="s">
        <v>50</v>
      </c>
      <c r="O19" s="3" t="s">
        <v>49</v>
      </c>
      <c r="P19" s="4">
        <v>31279</v>
      </c>
      <c r="Q19" s="5" t="s">
        <v>11</v>
      </c>
      <c r="R19" s="3" t="s">
        <v>12</v>
      </c>
      <c r="S19" s="6" t="str">
        <f>_xlfn.XLOOKUP(M19,Source!C18:C52,Source!E18:E52,"-Retired")</f>
        <v>East</v>
      </c>
      <c r="T19" s="6" t="str">
        <f>_xlfn.XLOOKUP(M19,Source!C18:C52,Source!D18:D52,"Retired")</f>
        <v>CEO</v>
      </c>
      <c r="U19" s="6">
        <f>_xlfn.XLOOKUP(M19,Source!C18:C52,Source!F18:F52,"Retired")</f>
        <v>90000</v>
      </c>
    </row>
    <row r="20" spans="3:21" ht="14.25" customHeight="1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s="6" t="e">
        <f t="shared" si="0"/>
        <v>#N/A</v>
      </c>
      <c r="J20" s="6" t="e">
        <f t="shared" si="0"/>
        <v>#N/A</v>
      </c>
      <c r="K20" s="6" t="e">
        <f t="shared" si="0"/>
        <v>#N/A</v>
      </c>
      <c r="M20" s="2">
        <v>150858</v>
      </c>
      <c r="N20" s="3" t="s">
        <v>52</v>
      </c>
      <c r="O20" s="3" t="s">
        <v>53</v>
      </c>
      <c r="P20" s="4">
        <v>34846</v>
      </c>
      <c r="Q20" s="5" t="s">
        <v>24</v>
      </c>
      <c r="R20" s="3" t="s">
        <v>12</v>
      </c>
      <c r="S20" s="6" t="str">
        <f>_xlfn.XLOOKUP(M20,Source!C19:C53,Source!E19:E53,"-Retired")</f>
        <v>-Retired</v>
      </c>
      <c r="T20" s="6" t="str">
        <f>_xlfn.XLOOKUP(M20,Source!C19:C53,Source!D19:D53,"Retired")</f>
        <v>Retired</v>
      </c>
      <c r="U20" s="6" t="str">
        <f>_xlfn.XLOOKUP(M20,Source!C19:C53,Source!F19:F53,"Retired")</f>
        <v>Retired</v>
      </c>
    </row>
    <row r="21" spans="3:21" ht="14.25" customHeight="1">
      <c r="C21" s="2">
        <v>150930</v>
      </c>
      <c r="D21" s="3" t="s">
        <v>55</v>
      </c>
      <c r="E21" s="3" t="s">
        <v>56</v>
      </c>
      <c r="F21" s="4">
        <v>37027</v>
      </c>
      <c r="G21" s="5" t="s">
        <v>24</v>
      </c>
      <c r="H21" s="3" t="s">
        <v>12</v>
      </c>
      <c r="I21" s="6" t="str">
        <f t="shared" si="0"/>
        <v>South</v>
      </c>
      <c r="J21" s="6" t="str">
        <f t="shared" si="0"/>
        <v>Digital Marketing</v>
      </c>
      <c r="K21" s="6">
        <f t="shared" si="0"/>
        <v>82000</v>
      </c>
      <c r="M21" s="2">
        <v>150930</v>
      </c>
      <c r="N21" s="3" t="s">
        <v>55</v>
      </c>
      <c r="O21" s="3" t="s">
        <v>56</v>
      </c>
      <c r="P21" s="4">
        <v>37027</v>
      </c>
      <c r="Q21" s="5" t="s">
        <v>24</v>
      </c>
      <c r="R21" s="3" t="s">
        <v>12</v>
      </c>
      <c r="S21" s="6" t="str">
        <f>_xlfn.XLOOKUP(M21,Source!C20:C54,Source!E20:E54,"-Retired")</f>
        <v>South</v>
      </c>
      <c r="T21" s="6" t="str">
        <f>_xlfn.XLOOKUP(M21,Source!C20:C54,Source!D20:D54,"Retired")</f>
        <v>Digital Marketing</v>
      </c>
      <c r="U21" s="6">
        <f>_xlfn.XLOOKUP(M21,Source!C20:C54,Source!F20:F54,"Retired")</f>
        <v>82000</v>
      </c>
    </row>
    <row r="22" spans="3:21" ht="14.25" customHeight="1">
      <c r="C22" s="2">
        <v>150894</v>
      </c>
      <c r="D22" s="3" t="s">
        <v>57</v>
      </c>
      <c r="E22" s="3" t="s">
        <v>58</v>
      </c>
      <c r="F22" s="4">
        <v>37124</v>
      </c>
      <c r="G22" s="5" t="s">
        <v>24</v>
      </c>
      <c r="H22" s="3" t="s">
        <v>12</v>
      </c>
      <c r="I22" s="6" t="str">
        <f t="shared" si="0"/>
        <v>South</v>
      </c>
      <c r="J22" s="6" t="str">
        <f t="shared" si="0"/>
        <v>Inside Sales</v>
      </c>
      <c r="K22" s="6">
        <f t="shared" si="0"/>
        <v>67000</v>
      </c>
      <c r="M22" s="2">
        <v>150894</v>
      </c>
      <c r="N22" s="3" t="s">
        <v>57</v>
      </c>
      <c r="O22" s="3" t="s">
        <v>58</v>
      </c>
      <c r="P22" s="4">
        <v>37124</v>
      </c>
      <c r="Q22" s="5" t="s">
        <v>24</v>
      </c>
      <c r="R22" s="3" t="s">
        <v>12</v>
      </c>
      <c r="S22" s="6" t="str">
        <f>_xlfn.XLOOKUP(M22,Source!C21:C55,Source!E21:E55,"-Retired")</f>
        <v>South</v>
      </c>
      <c r="T22" s="6" t="str">
        <f>_xlfn.XLOOKUP(M22,Source!C21:C55,Source!D21:D55,"Retired")</f>
        <v>Inside Sales</v>
      </c>
      <c r="U22" s="6">
        <f>_xlfn.XLOOKUP(M22,Source!C21:C55,Source!F21:F55,"Retired")</f>
        <v>67000</v>
      </c>
    </row>
    <row r="23" spans="3:21" ht="14.25" customHeight="1">
      <c r="C23" s="2">
        <v>150947</v>
      </c>
      <c r="D23" s="3" t="s">
        <v>59</v>
      </c>
      <c r="E23" s="3" t="s">
        <v>60</v>
      </c>
      <c r="F23" s="4">
        <v>33449</v>
      </c>
      <c r="G23" s="5" t="s">
        <v>11</v>
      </c>
      <c r="H23" s="3" t="s">
        <v>12</v>
      </c>
      <c r="I23" s="6" t="str">
        <f t="shared" si="0"/>
        <v>South</v>
      </c>
      <c r="J23" s="6" t="str">
        <f t="shared" si="0"/>
        <v>CCD</v>
      </c>
      <c r="K23" s="6">
        <f t="shared" si="0"/>
        <v>85000</v>
      </c>
      <c r="M23" s="2">
        <v>150947</v>
      </c>
      <c r="N23" s="3" t="s">
        <v>59</v>
      </c>
      <c r="O23" s="3" t="s">
        <v>60</v>
      </c>
      <c r="P23" s="4">
        <v>33449</v>
      </c>
      <c r="Q23" s="5" t="s">
        <v>11</v>
      </c>
      <c r="R23" s="3" t="s">
        <v>12</v>
      </c>
      <c r="S23" s="6" t="str">
        <f>_xlfn.XLOOKUP(M23,Source!C22:C56,Source!E22:E56,"-Retired")</f>
        <v>South</v>
      </c>
      <c r="T23" s="6" t="str">
        <f>_xlfn.XLOOKUP(M23,Source!C22:C56,Source!D22:D56,"Retired")</f>
        <v>CCD</v>
      </c>
      <c r="U23" s="6">
        <f>_xlfn.XLOOKUP(M23,Source!C22:C56,Source!F22:F56,"Retired")</f>
        <v>85000</v>
      </c>
    </row>
    <row r="24" spans="3:21" ht="14.25" customHeight="1">
      <c r="C24" s="2">
        <v>150905</v>
      </c>
      <c r="D24" s="3" t="s">
        <v>61</v>
      </c>
      <c r="E24" s="3" t="s">
        <v>62</v>
      </c>
      <c r="F24" s="4">
        <v>30819</v>
      </c>
      <c r="G24" s="5" t="s">
        <v>11</v>
      </c>
      <c r="H24" s="3" t="s">
        <v>17</v>
      </c>
      <c r="I24" s="6" t="str">
        <f t="shared" si="0"/>
        <v>South</v>
      </c>
      <c r="J24" s="6" t="str">
        <f t="shared" si="0"/>
        <v>FLM</v>
      </c>
      <c r="K24" s="6">
        <f t="shared" si="0"/>
        <v>62000</v>
      </c>
      <c r="M24" s="2">
        <v>150905</v>
      </c>
      <c r="N24" s="3" t="s">
        <v>61</v>
      </c>
      <c r="O24" s="3" t="s">
        <v>62</v>
      </c>
      <c r="P24" s="4">
        <v>30819</v>
      </c>
      <c r="Q24" s="5" t="s">
        <v>11</v>
      </c>
      <c r="R24" s="3" t="s">
        <v>17</v>
      </c>
      <c r="S24" s="6" t="str">
        <f>_xlfn.XLOOKUP(M24,Source!C23:C57,Source!E23:E57,"-Retired")</f>
        <v>South</v>
      </c>
      <c r="T24" s="6" t="str">
        <f>_xlfn.XLOOKUP(M24,Source!C23:C57,Source!D23:D57,"Retired")</f>
        <v>FLM</v>
      </c>
      <c r="U24" s="6">
        <f>_xlfn.XLOOKUP(M24,Source!C23:C57,Source!F23:F57,"Retired")</f>
        <v>62000</v>
      </c>
    </row>
    <row r="25" spans="3:21" ht="14.25" customHeight="1">
      <c r="C25" s="2">
        <v>150995</v>
      </c>
      <c r="D25" s="3" t="s">
        <v>63</v>
      </c>
      <c r="E25" s="3" t="s">
        <v>64</v>
      </c>
      <c r="F25" s="4">
        <v>35330</v>
      </c>
      <c r="G25" s="5" t="s">
        <v>24</v>
      </c>
      <c r="H25" s="3" t="s">
        <v>12</v>
      </c>
      <c r="I25" s="6" t="str">
        <f t="shared" si="0"/>
        <v>Mid West</v>
      </c>
      <c r="J25" s="6" t="str">
        <f t="shared" si="0"/>
        <v>Inside Sales</v>
      </c>
      <c r="K25" s="6">
        <f t="shared" si="0"/>
        <v>15000</v>
      </c>
      <c r="M25" s="2">
        <v>150995</v>
      </c>
      <c r="N25" s="3" t="s">
        <v>63</v>
      </c>
      <c r="O25" s="3" t="s">
        <v>64</v>
      </c>
      <c r="P25" s="4">
        <v>35330</v>
      </c>
      <c r="Q25" s="5" t="s">
        <v>24</v>
      </c>
      <c r="R25" s="3" t="s">
        <v>12</v>
      </c>
      <c r="S25" s="6" t="str">
        <f>_xlfn.XLOOKUP(M25,Source!C24:C58,Source!E24:E58,"-Retired")</f>
        <v>Mid West</v>
      </c>
      <c r="T25" s="6" t="str">
        <f>_xlfn.XLOOKUP(M25,Source!C24:C58,Source!D24:D58,"Retired")</f>
        <v>Inside Sales</v>
      </c>
      <c r="U25" s="6">
        <f>_xlfn.XLOOKUP(M25,Source!C24:C58,Source!F24:F58,"Retired")</f>
        <v>15000</v>
      </c>
    </row>
    <row r="26" spans="3:21" ht="14.25" customHeight="1">
      <c r="C26" s="2">
        <v>150912</v>
      </c>
      <c r="D26" s="3" t="s">
        <v>65</v>
      </c>
      <c r="E26" s="3" t="s">
        <v>66</v>
      </c>
      <c r="F26" s="4">
        <v>37629</v>
      </c>
      <c r="G26" s="5" t="s">
        <v>11</v>
      </c>
      <c r="H26" s="3" t="s">
        <v>12</v>
      </c>
      <c r="I26" s="6" t="str">
        <f t="shared" si="0"/>
        <v>South</v>
      </c>
      <c r="J26" s="6" t="str">
        <f t="shared" si="0"/>
        <v>Operations</v>
      </c>
      <c r="K26" s="6">
        <f t="shared" si="0"/>
        <v>81000</v>
      </c>
      <c r="M26" s="2">
        <v>150912</v>
      </c>
      <c r="N26" s="3" t="s">
        <v>65</v>
      </c>
      <c r="O26" s="3" t="s">
        <v>66</v>
      </c>
      <c r="P26" s="4">
        <v>37629</v>
      </c>
      <c r="Q26" s="5" t="s">
        <v>11</v>
      </c>
      <c r="R26" s="3" t="s">
        <v>12</v>
      </c>
      <c r="S26" s="6" t="str">
        <f>_xlfn.XLOOKUP(M26,Source!C25:C59,Source!E25:E59,"-Retired")</f>
        <v>South</v>
      </c>
      <c r="T26" s="6" t="str">
        <f>_xlfn.XLOOKUP(M26,Source!C25:C59,Source!D25:D59,"Retired")</f>
        <v>Operations</v>
      </c>
      <c r="U26" s="6">
        <f>_xlfn.XLOOKUP(M26,Source!C25:C59,Source!F25:F59,"Retired")</f>
        <v>81000</v>
      </c>
    </row>
    <row r="27" spans="3:21" ht="14.25" customHeight="1">
      <c r="C27" s="2">
        <v>150921</v>
      </c>
      <c r="D27" s="3" t="s">
        <v>68</v>
      </c>
      <c r="E27" s="3" t="s">
        <v>69</v>
      </c>
      <c r="F27" s="4">
        <v>38092</v>
      </c>
      <c r="G27" s="5" t="s">
        <v>24</v>
      </c>
      <c r="H27" s="3" t="s">
        <v>12</v>
      </c>
      <c r="I27" s="6" t="str">
        <f t="shared" ref="I27:K44" si="1">VLOOKUP($C27,data,MATCH(I$6,header,0),FALSE)</f>
        <v>South</v>
      </c>
      <c r="J27" s="6" t="str">
        <f t="shared" si="1"/>
        <v>Finance</v>
      </c>
      <c r="K27" s="6">
        <f t="shared" si="1"/>
        <v>19000</v>
      </c>
      <c r="M27" s="2">
        <v>150921</v>
      </c>
      <c r="N27" s="3" t="s">
        <v>68</v>
      </c>
      <c r="O27" s="3" t="s">
        <v>69</v>
      </c>
      <c r="P27" s="4">
        <v>38092</v>
      </c>
      <c r="Q27" s="5" t="s">
        <v>24</v>
      </c>
      <c r="R27" s="3" t="s">
        <v>12</v>
      </c>
      <c r="S27" s="6" t="str">
        <f>_xlfn.XLOOKUP(M27,Source!C26:C60,Source!E26:E60,"-Retired")</f>
        <v>South</v>
      </c>
      <c r="T27" s="6" t="str">
        <f>_xlfn.XLOOKUP(M27,Source!C26:C60,Source!D26:D60,"Retired")</f>
        <v>Finance</v>
      </c>
      <c r="U27" s="6">
        <f>_xlfn.XLOOKUP(M27,Source!C26:C60,Source!F26:F60,"Retired")</f>
        <v>19000</v>
      </c>
    </row>
    <row r="28" spans="3:21" ht="14.25" customHeight="1">
      <c r="C28" s="2">
        <v>150851</v>
      </c>
      <c r="D28" s="3" t="s">
        <v>71</v>
      </c>
      <c r="E28" s="3" t="s">
        <v>72</v>
      </c>
      <c r="F28" s="4">
        <v>29368</v>
      </c>
      <c r="G28" s="5" t="s">
        <v>24</v>
      </c>
      <c r="H28" s="3" t="s">
        <v>17</v>
      </c>
      <c r="I28" s="6" t="str">
        <f t="shared" si="1"/>
        <v>East</v>
      </c>
      <c r="J28" s="6" t="str">
        <f t="shared" si="1"/>
        <v>Inside Sales</v>
      </c>
      <c r="K28" s="6">
        <f t="shared" si="1"/>
        <v>75000</v>
      </c>
      <c r="M28" s="2">
        <v>150851</v>
      </c>
      <c r="N28" s="3" t="s">
        <v>71</v>
      </c>
      <c r="O28" s="3" t="s">
        <v>72</v>
      </c>
      <c r="P28" s="4">
        <v>29368</v>
      </c>
      <c r="Q28" s="5" t="s">
        <v>24</v>
      </c>
      <c r="R28" s="3" t="s">
        <v>17</v>
      </c>
      <c r="S28" s="6" t="str">
        <f>_xlfn.XLOOKUP(M28,Source!C27:C61,Source!E27:E61,"-Retired")</f>
        <v>-Retired</v>
      </c>
      <c r="T28" s="6" t="str">
        <f>_xlfn.XLOOKUP(M28,Source!C27:C61,Source!D27:D61,"Retired")</f>
        <v>Retired</v>
      </c>
      <c r="U28" s="6" t="str">
        <f>_xlfn.XLOOKUP(M28,Source!C27:C61,Source!F27:F61,"Retired")</f>
        <v>Retired</v>
      </c>
    </row>
    <row r="29" spans="3:21" ht="14.25" customHeight="1">
      <c r="C29" s="2">
        <v>150867</v>
      </c>
      <c r="D29" s="3" t="s">
        <v>73</v>
      </c>
      <c r="E29" s="3" t="s">
        <v>74</v>
      </c>
      <c r="F29" s="4">
        <v>29028</v>
      </c>
      <c r="G29" s="5" t="s">
        <v>11</v>
      </c>
      <c r="H29" s="3" t="s">
        <v>17</v>
      </c>
      <c r="I29" s="6" t="str">
        <f t="shared" si="1"/>
        <v>East</v>
      </c>
      <c r="J29" s="6" t="str">
        <f t="shared" si="1"/>
        <v>Finance</v>
      </c>
      <c r="K29" s="6">
        <f t="shared" si="1"/>
        <v>49000</v>
      </c>
      <c r="M29" s="2">
        <v>150867</v>
      </c>
      <c r="N29" s="3" t="s">
        <v>73</v>
      </c>
      <c r="O29" s="3" t="s">
        <v>74</v>
      </c>
      <c r="P29" s="4">
        <v>29028</v>
      </c>
      <c r="Q29" s="5" t="s">
        <v>11</v>
      </c>
      <c r="R29" s="3" t="s">
        <v>17</v>
      </c>
      <c r="S29" s="6" t="str">
        <f>_xlfn.XLOOKUP(M29,Source!C28:C62,Source!E28:E62,"-Retired")</f>
        <v>-Retired</v>
      </c>
      <c r="T29" s="6" t="str">
        <f>_xlfn.XLOOKUP(M29,Source!C28:C62,Source!D28:D62,"Retired")</f>
        <v>Retired</v>
      </c>
      <c r="U29" s="6" t="str">
        <f>_xlfn.XLOOKUP(M29,Source!C28:C62,Source!F28:F62,"Retired")</f>
        <v>Retired</v>
      </c>
    </row>
    <row r="30" spans="3:21" ht="14.25" customHeight="1">
      <c r="C30" s="2">
        <v>150899</v>
      </c>
      <c r="D30" s="3" t="s">
        <v>75</v>
      </c>
      <c r="E30" s="3" t="s">
        <v>76</v>
      </c>
      <c r="F30" s="4">
        <v>37400</v>
      </c>
      <c r="G30" s="5" t="s">
        <v>24</v>
      </c>
      <c r="H30" s="3" t="s">
        <v>12</v>
      </c>
      <c r="I30" s="6" t="e">
        <f t="shared" si="1"/>
        <v>#N/A</v>
      </c>
      <c r="J30" s="6" t="e">
        <f t="shared" si="1"/>
        <v>#N/A</v>
      </c>
      <c r="K30" s="6" t="e">
        <f t="shared" si="1"/>
        <v>#N/A</v>
      </c>
      <c r="M30" s="2">
        <v>150899</v>
      </c>
      <c r="N30" s="3" t="s">
        <v>75</v>
      </c>
      <c r="O30" s="3" t="s">
        <v>76</v>
      </c>
      <c r="P30" s="4">
        <v>37400</v>
      </c>
      <c r="Q30" s="5" t="s">
        <v>24</v>
      </c>
      <c r="R30" s="3" t="s">
        <v>12</v>
      </c>
      <c r="S30" s="6" t="str">
        <f>_xlfn.XLOOKUP(M30,Source!C29:C63,Source!E29:E63,"-Retired")</f>
        <v>-Retired</v>
      </c>
      <c r="T30" s="6" t="str">
        <f>_xlfn.XLOOKUP(M30,Source!C29:C63,Source!D29:D63,"Retired")</f>
        <v>Retired</v>
      </c>
      <c r="U30" s="6" t="str">
        <f>_xlfn.XLOOKUP(M30,Source!C29:C63,Source!F29:F63,"Retired")</f>
        <v>Retired</v>
      </c>
    </row>
    <row r="31" spans="3:21" ht="14.25" customHeight="1">
      <c r="C31" s="2">
        <v>150975</v>
      </c>
      <c r="D31" s="3" t="s">
        <v>77</v>
      </c>
      <c r="E31" s="3" t="s">
        <v>78</v>
      </c>
      <c r="F31" s="4">
        <v>31478</v>
      </c>
      <c r="G31" s="5" t="s">
        <v>24</v>
      </c>
      <c r="H31" s="3" t="s">
        <v>12</v>
      </c>
      <c r="I31" s="6" t="str">
        <f t="shared" si="1"/>
        <v>Mid West</v>
      </c>
      <c r="J31" s="6" t="str">
        <f t="shared" si="1"/>
        <v>Finance</v>
      </c>
      <c r="K31" s="6">
        <f t="shared" si="1"/>
        <v>83000</v>
      </c>
      <c r="M31" s="2">
        <v>150975</v>
      </c>
      <c r="N31" s="3" t="s">
        <v>77</v>
      </c>
      <c r="O31" s="3" t="s">
        <v>78</v>
      </c>
      <c r="P31" s="4">
        <v>31478</v>
      </c>
      <c r="Q31" s="5" t="s">
        <v>24</v>
      </c>
      <c r="R31" s="3" t="s">
        <v>12</v>
      </c>
      <c r="S31" s="6" t="str">
        <f>_xlfn.XLOOKUP(M31,Source!C30:C64,Source!E30:E64,"-Retired")</f>
        <v>Mid West</v>
      </c>
      <c r="T31" s="6" t="str">
        <f>_xlfn.XLOOKUP(M31,Source!C30:C64,Source!D30:D64,"Retired")</f>
        <v>Finance</v>
      </c>
      <c r="U31" s="6">
        <f>_xlfn.XLOOKUP(M31,Source!C30:C64,Source!F30:F64,"Retired")</f>
        <v>83000</v>
      </c>
    </row>
    <row r="32" spans="3:21" ht="14.25" customHeight="1">
      <c r="C32" s="2">
        <v>150901</v>
      </c>
      <c r="D32" s="3" t="s">
        <v>79</v>
      </c>
      <c r="E32" s="3" t="s">
        <v>80</v>
      </c>
      <c r="F32" s="4">
        <v>32946</v>
      </c>
      <c r="G32" s="5" t="s">
        <v>11</v>
      </c>
      <c r="H32" s="3" t="s">
        <v>12</v>
      </c>
      <c r="I32" s="6" t="str">
        <f t="shared" si="1"/>
        <v>South</v>
      </c>
      <c r="J32" s="6" t="str">
        <f t="shared" si="1"/>
        <v>Sales</v>
      </c>
      <c r="K32" s="6">
        <f t="shared" si="1"/>
        <v>53000</v>
      </c>
      <c r="M32" s="2">
        <v>150901</v>
      </c>
      <c r="N32" s="3" t="s">
        <v>79</v>
      </c>
      <c r="O32" s="3" t="s">
        <v>80</v>
      </c>
      <c r="P32" s="4">
        <v>32946</v>
      </c>
      <c r="Q32" s="5" t="s">
        <v>11</v>
      </c>
      <c r="R32" s="3" t="s">
        <v>12</v>
      </c>
      <c r="S32" s="6" t="str">
        <f>_xlfn.XLOOKUP(M32,Source!C31:C65,Source!E31:E65,"-Retired")</f>
        <v>-Retired</v>
      </c>
      <c r="T32" s="6" t="str">
        <f>_xlfn.XLOOKUP(M32,Source!C31:C65,Source!D31:D65,"Retired")</f>
        <v>Retired</v>
      </c>
      <c r="U32" s="6" t="str">
        <f>_xlfn.XLOOKUP(M32,Source!C31:C65,Source!F31:F65,"Retired")</f>
        <v>Retired</v>
      </c>
    </row>
    <row r="33" spans="3:21" ht="14.25" customHeight="1">
      <c r="C33" s="2">
        <v>150968</v>
      </c>
      <c r="D33" s="3" t="s">
        <v>82</v>
      </c>
      <c r="E33" s="3" t="s">
        <v>83</v>
      </c>
      <c r="F33" s="4">
        <v>37208</v>
      </c>
      <c r="G33" s="5" t="s">
        <v>24</v>
      </c>
      <c r="H33" s="3" t="s">
        <v>12</v>
      </c>
      <c r="I33" s="6" t="str">
        <f t="shared" si="1"/>
        <v>South</v>
      </c>
      <c r="J33" s="6" t="str">
        <f t="shared" si="1"/>
        <v>Operations</v>
      </c>
      <c r="K33" s="6">
        <f t="shared" si="1"/>
        <v>65000</v>
      </c>
      <c r="M33" s="2">
        <v>150968</v>
      </c>
      <c r="N33" s="3" t="s">
        <v>82</v>
      </c>
      <c r="O33" s="3" t="s">
        <v>83</v>
      </c>
      <c r="P33" s="4">
        <v>37208</v>
      </c>
      <c r="Q33" s="5" t="s">
        <v>24</v>
      </c>
      <c r="R33" s="3" t="s">
        <v>12</v>
      </c>
      <c r="S33" s="6" t="str">
        <f>_xlfn.XLOOKUP(M33,Source!C32:C66,Source!E32:E66,"-Retired")</f>
        <v>South</v>
      </c>
      <c r="T33" s="6" t="str">
        <f>_xlfn.XLOOKUP(M33,Source!C32:C66,Source!D32:D66,"Retired")</f>
        <v>Operations</v>
      </c>
      <c r="U33" s="6">
        <f>_xlfn.XLOOKUP(M33,Source!C32:C66,Source!F32:F66,"Retired")</f>
        <v>65000</v>
      </c>
    </row>
    <row r="34" spans="3:21" ht="14.25" customHeight="1">
      <c r="C34" s="2">
        <v>150773</v>
      </c>
      <c r="D34" s="3" t="s">
        <v>84</v>
      </c>
      <c r="E34" s="3" t="s">
        <v>85</v>
      </c>
      <c r="F34" s="4">
        <v>26860</v>
      </c>
      <c r="G34" s="5" t="s">
        <v>24</v>
      </c>
      <c r="H34" s="3" t="s">
        <v>12</v>
      </c>
      <c r="I34" s="6" t="str">
        <f t="shared" si="1"/>
        <v>North</v>
      </c>
      <c r="J34" s="6" t="str">
        <f t="shared" si="1"/>
        <v>Finance</v>
      </c>
      <c r="K34" s="6">
        <f t="shared" si="1"/>
        <v>85000</v>
      </c>
      <c r="M34" s="2">
        <v>150773</v>
      </c>
      <c r="N34" s="3" t="s">
        <v>84</v>
      </c>
      <c r="O34" s="3" t="s">
        <v>85</v>
      </c>
      <c r="P34" s="4">
        <v>26860</v>
      </c>
      <c r="Q34" s="5" t="s">
        <v>24</v>
      </c>
      <c r="R34" s="3" t="s">
        <v>12</v>
      </c>
      <c r="S34" s="6" t="str">
        <f>_xlfn.XLOOKUP(M34,Source!C33:C67,Source!E33:E67,"-Retired")</f>
        <v>-Retired</v>
      </c>
      <c r="T34" s="6" t="str">
        <f>_xlfn.XLOOKUP(M34,Source!C33:C67,Source!D33:D67,"Retired")</f>
        <v>Retired</v>
      </c>
      <c r="U34" s="6" t="str">
        <f>_xlfn.XLOOKUP(M34,Source!C33:C67,Source!F33:F67,"Retired")</f>
        <v>Retired</v>
      </c>
    </row>
    <row r="35" spans="3:21" ht="14.25" customHeight="1">
      <c r="C35" s="2">
        <v>150840</v>
      </c>
      <c r="D35" s="3" t="s">
        <v>55</v>
      </c>
      <c r="E35" s="3" t="s">
        <v>86</v>
      </c>
      <c r="F35" s="4">
        <v>23136</v>
      </c>
      <c r="G35" s="5" t="s">
        <v>11</v>
      </c>
      <c r="H35" s="3" t="s">
        <v>12</v>
      </c>
      <c r="I35" s="6" t="str">
        <f t="shared" si="1"/>
        <v>East</v>
      </c>
      <c r="J35" s="6" t="str">
        <f t="shared" si="1"/>
        <v>Inside Sales</v>
      </c>
      <c r="K35" s="6">
        <f t="shared" si="1"/>
        <v>20000</v>
      </c>
      <c r="M35" s="2">
        <v>150840</v>
      </c>
      <c r="N35" s="3" t="s">
        <v>55</v>
      </c>
      <c r="O35" s="3" t="s">
        <v>86</v>
      </c>
      <c r="P35" s="4">
        <v>23136</v>
      </c>
      <c r="Q35" s="5" t="s">
        <v>11</v>
      </c>
      <c r="R35" s="3" t="s">
        <v>12</v>
      </c>
      <c r="S35" s="6" t="str">
        <f>_xlfn.XLOOKUP(M35,Source!C34:C68,Source!E34:E68,"-Retired")</f>
        <v>-Retired</v>
      </c>
      <c r="T35" s="6" t="str">
        <f>_xlfn.XLOOKUP(M35,Source!C34:C68,Source!D34:D68,"Retired")</f>
        <v>Retired</v>
      </c>
      <c r="U35" s="6" t="str">
        <f>_xlfn.XLOOKUP(M35,Source!C34:C68,Source!F34:F68,"Retired")</f>
        <v>Retired</v>
      </c>
    </row>
    <row r="36" spans="3:21" ht="14.25" customHeight="1">
      <c r="C36" s="2">
        <v>150850</v>
      </c>
      <c r="D36" s="3" t="s">
        <v>46</v>
      </c>
      <c r="E36" s="3" t="s">
        <v>87</v>
      </c>
      <c r="F36" s="4">
        <v>32027</v>
      </c>
      <c r="G36" s="5" t="s">
        <v>24</v>
      </c>
      <c r="H36" s="3" t="s">
        <v>12</v>
      </c>
      <c r="I36" s="6" t="str">
        <f t="shared" si="1"/>
        <v>East</v>
      </c>
      <c r="J36" s="6" t="str">
        <f t="shared" si="1"/>
        <v>CCD</v>
      </c>
      <c r="K36" s="6">
        <f t="shared" si="1"/>
        <v>47000</v>
      </c>
      <c r="M36" s="2">
        <v>150850</v>
      </c>
      <c r="N36" s="3" t="s">
        <v>46</v>
      </c>
      <c r="O36" s="3" t="s">
        <v>87</v>
      </c>
      <c r="P36" s="4">
        <v>32027</v>
      </c>
      <c r="Q36" s="5" t="s">
        <v>24</v>
      </c>
      <c r="R36" s="3" t="s">
        <v>12</v>
      </c>
      <c r="S36" s="6" t="str">
        <f>_xlfn.XLOOKUP(M36,Source!C35:C69,Source!E35:E69,"-Retired")</f>
        <v>-Retired</v>
      </c>
      <c r="T36" s="6" t="str">
        <f>_xlfn.XLOOKUP(M36,Source!C35:C69,Source!D35:D69,"Retired")</f>
        <v>Retired</v>
      </c>
      <c r="U36" s="6" t="str">
        <f>_xlfn.XLOOKUP(M36,Source!C35:C69,Source!F35:F69,"Retired")</f>
        <v>Retired</v>
      </c>
    </row>
    <row r="37" spans="3:21" ht="14.25" customHeight="1">
      <c r="C37" s="2">
        <v>150962</v>
      </c>
      <c r="D37" s="3" t="s">
        <v>88</v>
      </c>
      <c r="E37" s="3" t="s">
        <v>89</v>
      </c>
      <c r="F37" s="4">
        <v>37773</v>
      </c>
      <c r="G37" s="5" t="s">
        <v>11</v>
      </c>
      <c r="H37" s="3" t="s">
        <v>12</v>
      </c>
      <c r="I37" s="6" t="str">
        <f t="shared" si="1"/>
        <v>South</v>
      </c>
      <c r="J37" s="6" t="str">
        <f t="shared" si="1"/>
        <v>Director</v>
      </c>
      <c r="K37" s="6">
        <f t="shared" si="1"/>
        <v>87000</v>
      </c>
      <c r="M37" s="2">
        <v>150962</v>
      </c>
      <c r="N37" s="3" t="s">
        <v>88</v>
      </c>
      <c r="O37" s="3" t="s">
        <v>89</v>
      </c>
      <c r="P37" s="4">
        <v>37773</v>
      </c>
      <c r="Q37" s="5" t="s">
        <v>11</v>
      </c>
      <c r="R37" s="3" t="s">
        <v>12</v>
      </c>
      <c r="S37" s="6" t="str">
        <f>_xlfn.XLOOKUP(M37,Source!C36:C70,Source!E36:E70,"-Retired")</f>
        <v>-Retired</v>
      </c>
      <c r="T37" s="6" t="str">
        <f>_xlfn.XLOOKUP(M37,Source!C36:C70,Source!D36:D70,"Retired")</f>
        <v>Retired</v>
      </c>
      <c r="U37" s="6" t="str">
        <f>_xlfn.XLOOKUP(M37,Source!C36:C70,Source!F36:F70,"Retired")</f>
        <v>Retired</v>
      </c>
    </row>
    <row r="38" spans="3:21" ht="14.25" customHeight="1">
      <c r="C38" s="2">
        <v>150954</v>
      </c>
      <c r="D38" s="3" t="s">
        <v>90</v>
      </c>
      <c r="E38" s="3" t="s">
        <v>89</v>
      </c>
      <c r="F38" s="4">
        <v>35495</v>
      </c>
      <c r="G38" s="5" t="s">
        <v>11</v>
      </c>
      <c r="H38" s="3" t="s">
        <v>12</v>
      </c>
      <c r="I38" s="6" t="e">
        <f t="shared" si="1"/>
        <v>#N/A</v>
      </c>
      <c r="J38" s="6" t="e">
        <f t="shared" si="1"/>
        <v>#N/A</v>
      </c>
      <c r="K38" s="6" t="e">
        <f t="shared" si="1"/>
        <v>#N/A</v>
      </c>
      <c r="M38" s="2">
        <v>150954</v>
      </c>
      <c r="N38" s="3" t="s">
        <v>90</v>
      </c>
      <c r="O38" s="3" t="s">
        <v>89</v>
      </c>
      <c r="P38" s="4">
        <v>35495</v>
      </c>
      <c r="Q38" s="5" t="s">
        <v>11</v>
      </c>
      <c r="R38" s="3" t="s">
        <v>12</v>
      </c>
      <c r="S38" s="6" t="str">
        <f>_xlfn.XLOOKUP(M38,Source!C37:C71,Source!E37:E71,"-Retired")</f>
        <v>-Retired</v>
      </c>
      <c r="T38" s="6" t="str">
        <f>_xlfn.XLOOKUP(M38,Source!C37:C71,Source!D37:D71,"Retired")</f>
        <v>Retired</v>
      </c>
      <c r="U38" s="6" t="str">
        <f>_xlfn.XLOOKUP(M38,Source!C37:C71,Source!F37:F71,"Retired")</f>
        <v>Retired</v>
      </c>
    </row>
    <row r="39" spans="3:21" ht="14.25" customHeight="1">
      <c r="C39" s="2">
        <v>150874</v>
      </c>
      <c r="D39" s="3" t="s">
        <v>91</v>
      </c>
      <c r="E39" s="3" t="s">
        <v>89</v>
      </c>
      <c r="F39" s="4">
        <v>37890</v>
      </c>
      <c r="G39" s="5" t="s">
        <v>11</v>
      </c>
      <c r="H39" s="3" t="s">
        <v>12</v>
      </c>
      <c r="I39" s="6" t="str">
        <f t="shared" si="1"/>
        <v>East</v>
      </c>
      <c r="J39" s="6" t="str">
        <f t="shared" si="1"/>
        <v>Marketing</v>
      </c>
      <c r="K39" s="6">
        <f t="shared" si="1"/>
        <v>27000</v>
      </c>
      <c r="M39" s="2">
        <v>150874</v>
      </c>
      <c r="N39" s="3" t="s">
        <v>91</v>
      </c>
      <c r="O39" s="3" t="s">
        <v>89</v>
      </c>
      <c r="P39" s="4">
        <v>37890</v>
      </c>
      <c r="Q39" s="5" t="s">
        <v>11</v>
      </c>
      <c r="R39" s="3" t="s">
        <v>12</v>
      </c>
      <c r="S39" s="6" t="str">
        <f>_xlfn.XLOOKUP(M39,Source!C38:C72,Source!E38:E72,"-Retired")</f>
        <v>-Retired</v>
      </c>
      <c r="T39" s="6" t="str">
        <f>_xlfn.XLOOKUP(M39,Source!C38:C72,Source!D38:D72,"Retired")</f>
        <v>Retired</v>
      </c>
      <c r="U39" s="6" t="str">
        <f>_xlfn.XLOOKUP(M39,Source!C38:C72,Source!F38:F72,"Retired")</f>
        <v>Retired</v>
      </c>
    </row>
    <row r="40" spans="3:21" ht="14.25" customHeight="1">
      <c r="C40" s="2">
        <v>150798</v>
      </c>
      <c r="D40" s="3" t="s">
        <v>92</v>
      </c>
      <c r="E40" s="3" t="s">
        <v>89</v>
      </c>
      <c r="F40" s="4">
        <v>28276</v>
      </c>
      <c r="G40" s="5" t="s">
        <v>11</v>
      </c>
      <c r="H40" s="3" t="s">
        <v>12</v>
      </c>
      <c r="I40" s="6" t="str">
        <f t="shared" si="1"/>
        <v>North</v>
      </c>
      <c r="J40" s="6" t="str">
        <f t="shared" si="1"/>
        <v>Digital Marketing</v>
      </c>
      <c r="K40" s="6">
        <f t="shared" si="1"/>
        <v>81000</v>
      </c>
      <c r="M40" s="2">
        <v>150798</v>
      </c>
      <c r="N40" s="3" t="s">
        <v>92</v>
      </c>
      <c r="O40" s="3" t="s">
        <v>89</v>
      </c>
      <c r="P40" s="4">
        <v>28276</v>
      </c>
      <c r="Q40" s="5" t="s">
        <v>11</v>
      </c>
      <c r="R40" s="3" t="s">
        <v>12</v>
      </c>
      <c r="S40" s="6" t="str">
        <f>_xlfn.XLOOKUP(M40,Source!C39:C73,Source!E39:E73,"-Retired")</f>
        <v>-Retired</v>
      </c>
      <c r="T40" s="6" t="str">
        <f>_xlfn.XLOOKUP(M40,Source!C39:C73,Source!D39:D73,"Retired")</f>
        <v>Retired</v>
      </c>
      <c r="U40" s="6" t="str">
        <f>_xlfn.XLOOKUP(M40,Source!C39:C73,Source!F39:F73,"Retired")</f>
        <v>Retired</v>
      </c>
    </row>
    <row r="41" spans="3:21" ht="14.25" customHeight="1">
      <c r="C41" s="2">
        <v>150830</v>
      </c>
      <c r="D41" s="3" t="s">
        <v>93</v>
      </c>
      <c r="E41" s="3" t="s">
        <v>94</v>
      </c>
      <c r="F41" s="4">
        <v>29037</v>
      </c>
      <c r="G41" s="5" t="s">
        <v>11</v>
      </c>
      <c r="H41" s="3" t="s">
        <v>12</v>
      </c>
      <c r="I41" s="6" t="str">
        <f t="shared" si="1"/>
        <v>North</v>
      </c>
      <c r="J41" s="6" t="str">
        <f t="shared" si="1"/>
        <v>Sales</v>
      </c>
      <c r="K41" s="6">
        <f t="shared" si="1"/>
        <v>52000</v>
      </c>
      <c r="M41" s="2">
        <v>150830</v>
      </c>
      <c r="N41" s="3" t="s">
        <v>93</v>
      </c>
      <c r="O41" s="3" t="s">
        <v>94</v>
      </c>
      <c r="P41" s="4">
        <v>29037</v>
      </c>
      <c r="Q41" s="5" t="s">
        <v>11</v>
      </c>
      <c r="R41" s="3" t="s">
        <v>12</v>
      </c>
      <c r="S41" s="6" t="str">
        <f>_xlfn.XLOOKUP(M41,Source!C40:C74,Source!E40:E74,"-Retired")</f>
        <v>-Retired</v>
      </c>
      <c r="T41" s="6" t="str">
        <f>_xlfn.XLOOKUP(M41,Source!C40:C74,Source!D40:D74,"Retired")</f>
        <v>Retired</v>
      </c>
      <c r="U41" s="6" t="str">
        <f>_xlfn.XLOOKUP(M41,Source!C40:C74,Source!F40:F74,"Retired")</f>
        <v>Retired</v>
      </c>
    </row>
    <row r="42" spans="3:21" ht="14.25" customHeight="1">
      <c r="C42" s="2">
        <v>150929</v>
      </c>
      <c r="D42" s="3" t="s">
        <v>95</v>
      </c>
      <c r="E42" s="3" t="s">
        <v>96</v>
      </c>
      <c r="F42" s="4">
        <v>26739</v>
      </c>
      <c r="G42" s="5" t="s">
        <v>24</v>
      </c>
      <c r="H42" s="3" t="s">
        <v>12</v>
      </c>
      <c r="I42" s="6" t="str">
        <f t="shared" si="1"/>
        <v>South</v>
      </c>
      <c r="J42" s="6" t="str">
        <f t="shared" si="1"/>
        <v>Marketing</v>
      </c>
      <c r="K42" s="6">
        <f t="shared" si="1"/>
        <v>58000</v>
      </c>
      <c r="M42" s="2">
        <v>150929</v>
      </c>
      <c r="N42" s="3" t="s">
        <v>95</v>
      </c>
      <c r="O42" s="3" t="s">
        <v>96</v>
      </c>
      <c r="P42" s="4">
        <v>26739</v>
      </c>
      <c r="Q42" s="5" t="s">
        <v>24</v>
      </c>
      <c r="R42" s="3" t="s">
        <v>12</v>
      </c>
      <c r="S42" s="6" t="str">
        <f>_xlfn.XLOOKUP(M42,Source!C41:C75,Source!E41:E75,"-Retired")</f>
        <v>-Retired</v>
      </c>
      <c r="T42" s="6" t="str">
        <f>_xlfn.XLOOKUP(M42,Source!C41:C75,Source!D41:D75,"Retired")</f>
        <v>Retired</v>
      </c>
      <c r="U42" s="6" t="str">
        <f>_xlfn.XLOOKUP(M42,Source!C41:C75,Source!F41:F75,"Retired")</f>
        <v>Retired</v>
      </c>
    </row>
    <row r="43" spans="3:21" ht="14.25" customHeight="1">
      <c r="C43" s="2">
        <v>150982</v>
      </c>
      <c r="D43" s="3" t="s">
        <v>97</v>
      </c>
      <c r="E43" s="3" t="s">
        <v>98</v>
      </c>
      <c r="F43" s="4">
        <v>35574</v>
      </c>
      <c r="G43" s="5" t="s">
        <v>24</v>
      </c>
      <c r="H43" s="3" t="s">
        <v>12</v>
      </c>
      <c r="I43" s="6" t="str">
        <f t="shared" si="1"/>
        <v>Mid West</v>
      </c>
      <c r="J43" s="6" t="str">
        <f t="shared" si="1"/>
        <v>Marketing</v>
      </c>
      <c r="K43" s="6">
        <f t="shared" si="1"/>
        <v>47000</v>
      </c>
      <c r="M43" s="2">
        <v>150982</v>
      </c>
      <c r="N43" s="3" t="s">
        <v>97</v>
      </c>
      <c r="O43" s="3" t="s">
        <v>98</v>
      </c>
      <c r="P43" s="4">
        <v>35574</v>
      </c>
      <c r="Q43" s="5" t="s">
        <v>24</v>
      </c>
      <c r="R43" s="3" t="s">
        <v>12</v>
      </c>
      <c r="S43" s="6" t="str">
        <f>_xlfn.XLOOKUP(M43,Source!C42:C76,Source!E42:E76,"-Retired")</f>
        <v>-Retired</v>
      </c>
      <c r="T43" s="6" t="str">
        <f>_xlfn.XLOOKUP(M43,Source!C42:C76,Source!D42:D76,"Retired")</f>
        <v>Retired</v>
      </c>
      <c r="U43" s="6" t="str">
        <f>_xlfn.XLOOKUP(M43,Source!C42:C76,Source!F42:F76,"Retired")</f>
        <v>Retired</v>
      </c>
    </row>
    <row r="44" spans="3:21" ht="14.25" customHeight="1">
      <c r="C44" s="2">
        <v>150821</v>
      </c>
      <c r="D44" s="3" t="s">
        <v>99</v>
      </c>
      <c r="E44" s="3" t="s">
        <v>100</v>
      </c>
      <c r="F44" s="4">
        <v>29966</v>
      </c>
      <c r="G44" s="5" t="s">
        <v>24</v>
      </c>
      <c r="H44" s="3" t="s">
        <v>17</v>
      </c>
      <c r="I44" s="6" t="str">
        <f t="shared" si="1"/>
        <v>North</v>
      </c>
      <c r="J44" s="6" t="str">
        <f t="shared" si="1"/>
        <v>CCD</v>
      </c>
      <c r="K44" s="6">
        <f t="shared" si="1"/>
        <v>26000</v>
      </c>
      <c r="M44" s="2">
        <v>150821</v>
      </c>
      <c r="N44" s="3" t="s">
        <v>99</v>
      </c>
      <c r="O44" s="3" t="s">
        <v>100</v>
      </c>
      <c r="P44" s="4">
        <v>29966</v>
      </c>
      <c r="Q44" s="5" t="s">
        <v>24</v>
      </c>
      <c r="R44" s="3" t="s">
        <v>17</v>
      </c>
      <c r="S44" s="6" t="str">
        <f>_xlfn.XLOOKUP(M44,Source!C43:C77,Source!E43:E77,"-Retired")</f>
        <v>-Retired</v>
      </c>
      <c r="T44" s="6" t="str">
        <f>_xlfn.XLOOKUP(M44,Source!C43:C77,Source!D43:D77,"Retired")</f>
        <v>Retired</v>
      </c>
      <c r="U44" s="6" t="str">
        <f>_xlfn.XLOOKUP(M44,Source!C43:C77,Source!F43:F77,"Retired")</f>
        <v>Retired</v>
      </c>
    </row>
    <row r="45" spans="3:21" ht="14.25" customHeight="1"/>
    <row r="46" spans="3:21" ht="14.25" customHeight="1"/>
    <row r="47" spans="3:21" ht="14.25" customHeight="1"/>
    <row r="48" spans="3:2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workbookViewId="0">
      <selection activeCell="G5" sqref="G5"/>
    </sheetView>
  </sheetViews>
  <sheetFormatPr defaultColWidth="14.44140625" defaultRowHeight="15" customHeight="1"/>
  <cols>
    <col min="1" max="3" width="8.6640625" customWidth="1"/>
    <col min="4" max="4" width="21.33203125" customWidth="1"/>
    <col min="5" max="5" width="8.6640625" customWidth="1"/>
    <col min="6" max="6" width="11.44140625" customWidth="1"/>
    <col min="7" max="26" width="8.6640625" customWidth="1"/>
  </cols>
  <sheetData>
    <row r="1" spans="3:6" ht="14.25" customHeight="1"/>
    <row r="2" spans="3:6" ht="14.25" customHeight="1"/>
    <row r="3" spans="3:6" ht="14.25" customHeight="1"/>
    <row r="4" spans="3:6" ht="14.25" customHeight="1"/>
    <row r="5" spans="3:6" ht="14.25" customHeight="1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>
      <c r="C6" s="2">
        <v>150773</v>
      </c>
      <c r="D6" s="3" t="s">
        <v>70</v>
      </c>
      <c r="E6" s="3" t="s">
        <v>14</v>
      </c>
      <c r="F6" s="6">
        <v>85000</v>
      </c>
    </row>
    <row r="7" spans="3:6" ht="14.25" customHeight="1">
      <c r="C7" s="2">
        <v>150777</v>
      </c>
      <c r="D7" s="3" t="s">
        <v>29</v>
      </c>
      <c r="E7" s="3" t="s">
        <v>14</v>
      </c>
      <c r="F7" s="6">
        <v>22000</v>
      </c>
    </row>
    <row r="8" spans="3:6" ht="14.25" customHeight="1">
      <c r="C8" s="2">
        <v>150784</v>
      </c>
      <c r="D8" s="3" t="s">
        <v>18</v>
      </c>
      <c r="E8" s="3" t="s">
        <v>14</v>
      </c>
      <c r="F8" s="6">
        <v>35000</v>
      </c>
    </row>
    <row r="9" spans="3:6" ht="14.25" customHeight="1">
      <c r="C9" s="2">
        <v>150791</v>
      </c>
      <c r="D9" s="3" t="s">
        <v>18</v>
      </c>
      <c r="E9" s="3" t="s">
        <v>14</v>
      </c>
      <c r="F9" s="6">
        <v>67000</v>
      </c>
    </row>
    <row r="10" spans="3:6" ht="14.25" customHeight="1">
      <c r="C10" s="2">
        <v>150798</v>
      </c>
      <c r="D10" s="3" t="s">
        <v>18</v>
      </c>
      <c r="E10" s="3" t="s">
        <v>14</v>
      </c>
      <c r="F10" s="6">
        <v>81000</v>
      </c>
    </row>
    <row r="11" spans="3:6" ht="14.25" customHeight="1">
      <c r="C11" s="2">
        <v>150805</v>
      </c>
      <c r="D11" s="3" t="s">
        <v>33</v>
      </c>
      <c r="E11" s="3" t="s">
        <v>14</v>
      </c>
      <c r="F11" s="6">
        <v>91000</v>
      </c>
    </row>
    <row r="12" spans="3:6" ht="14.25" customHeight="1">
      <c r="C12" s="2">
        <v>150814</v>
      </c>
      <c r="D12" s="3" t="s">
        <v>25</v>
      </c>
      <c r="E12" s="3" t="s">
        <v>14</v>
      </c>
      <c r="F12" s="6">
        <v>50000</v>
      </c>
    </row>
    <row r="13" spans="3:6" ht="14.25" customHeight="1">
      <c r="C13" s="2">
        <v>150821</v>
      </c>
      <c r="D13" s="3" t="s">
        <v>54</v>
      </c>
      <c r="E13" s="3" t="s">
        <v>14</v>
      </c>
      <c r="F13" s="6">
        <v>26000</v>
      </c>
    </row>
    <row r="14" spans="3:6" ht="14.25" customHeight="1">
      <c r="C14" s="2">
        <v>150830</v>
      </c>
      <c r="D14" s="3" t="s">
        <v>81</v>
      </c>
      <c r="E14" s="3" t="s">
        <v>14</v>
      </c>
      <c r="F14" s="6">
        <v>52000</v>
      </c>
    </row>
    <row r="15" spans="3:6" ht="14.25" customHeight="1">
      <c r="C15" s="2">
        <v>150834</v>
      </c>
      <c r="D15" s="3" t="s">
        <v>13</v>
      </c>
      <c r="E15" s="3" t="s">
        <v>14</v>
      </c>
      <c r="F15" s="6">
        <v>48000</v>
      </c>
    </row>
    <row r="16" spans="3:6" ht="14.25" customHeight="1">
      <c r="C16" s="2">
        <v>150840</v>
      </c>
      <c r="D16" s="3" t="s">
        <v>25</v>
      </c>
      <c r="E16" s="3" t="s">
        <v>43</v>
      </c>
      <c r="F16" s="6">
        <v>20000</v>
      </c>
    </row>
    <row r="17" spans="3:6" ht="14.25" customHeight="1">
      <c r="C17" s="2">
        <v>150850</v>
      </c>
      <c r="D17" s="3" t="s">
        <v>54</v>
      </c>
      <c r="E17" s="3" t="s">
        <v>43</v>
      </c>
      <c r="F17" s="6">
        <v>47000</v>
      </c>
    </row>
    <row r="18" spans="3:6" ht="14.25" customHeight="1">
      <c r="C18" s="2">
        <v>150851</v>
      </c>
      <c r="D18" s="3" t="s">
        <v>25</v>
      </c>
      <c r="E18" s="3" t="s">
        <v>43</v>
      </c>
      <c r="F18" s="6">
        <v>75000</v>
      </c>
    </row>
    <row r="19" spans="3:6" ht="14.25" customHeight="1">
      <c r="C19" s="2">
        <v>150865</v>
      </c>
      <c r="D19" s="3" t="s">
        <v>51</v>
      </c>
      <c r="E19" s="3" t="s">
        <v>43</v>
      </c>
      <c r="F19" s="6">
        <v>90000</v>
      </c>
    </row>
    <row r="20" spans="3:6" ht="14.25" customHeight="1">
      <c r="C20" s="2">
        <v>150867</v>
      </c>
      <c r="D20" s="3" t="s">
        <v>70</v>
      </c>
      <c r="E20" s="3" t="s">
        <v>43</v>
      </c>
      <c r="F20" s="6">
        <v>49000</v>
      </c>
    </row>
    <row r="21" spans="3:6" ht="14.25" customHeight="1">
      <c r="C21" s="2">
        <v>150874</v>
      </c>
      <c r="D21" s="3" t="s">
        <v>29</v>
      </c>
      <c r="E21" s="3" t="s">
        <v>43</v>
      </c>
      <c r="F21" s="6">
        <v>27000</v>
      </c>
    </row>
    <row r="22" spans="3:6" ht="14.25" customHeight="1">
      <c r="C22" s="2">
        <v>150881</v>
      </c>
      <c r="D22" s="3" t="s">
        <v>18</v>
      </c>
      <c r="E22" s="3" t="s">
        <v>43</v>
      </c>
      <c r="F22" s="6">
        <v>92000</v>
      </c>
    </row>
    <row r="23" spans="3:6" ht="14.25" customHeight="1">
      <c r="C23" s="2">
        <v>150888</v>
      </c>
      <c r="D23" s="3" t="s">
        <v>37</v>
      </c>
      <c r="E23" s="3" t="s">
        <v>43</v>
      </c>
      <c r="F23" s="6">
        <v>43000</v>
      </c>
    </row>
    <row r="24" spans="3:6" ht="14.25" customHeight="1">
      <c r="C24" s="2">
        <v>150894</v>
      </c>
      <c r="D24" s="3" t="s">
        <v>25</v>
      </c>
      <c r="E24" s="3" t="s">
        <v>26</v>
      </c>
      <c r="F24" s="6">
        <v>67000</v>
      </c>
    </row>
    <row r="25" spans="3:6" ht="14.25" customHeight="1">
      <c r="C25" s="2">
        <v>150901</v>
      </c>
      <c r="D25" s="3" t="s">
        <v>81</v>
      </c>
      <c r="E25" s="3" t="s">
        <v>26</v>
      </c>
      <c r="F25" s="6">
        <v>53000</v>
      </c>
    </row>
    <row r="26" spans="3:6" ht="14.25" customHeight="1">
      <c r="C26" s="2">
        <v>150905</v>
      </c>
      <c r="D26" s="3" t="s">
        <v>13</v>
      </c>
      <c r="E26" s="3" t="s">
        <v>26</v>
      </c>
      <c r="F26" s="6">
        <v>62000</v>
      </c>
    </row>
    <row r="27" spans="3:6" ht="14.25" customHeight="1">
      <c r="C27" s="2">
        <v>150912</v>
      </c>
      <c r="D27" s="3" t="s">
        <v>67</v>
      </c>
      <c r="E27" s="3" t="s">
        <v>26</v>
      </c>
      <c r="F27" s="6">
        <v>81000</v>
      </c>
    </row>
    <row r="28" spans="3:6" ht="14.25" customHeight="1">
      <c r="C28" s="2">
        <v>150921</v>
      </c>
      <c r="D28" s="3" t="s">
        <v>70</v>
      </c>
      <c r="E28" s="3" t="s">
        <v>26</v>
      </c>
      <c r="F28" s="6">
        <v>19000</v>
      </c>
    </row>
    <row r="29" spans="3:6" ht="14.25" customHeight="1">
      <c r="C29" s="2">
        <v>150929</v>
      </c>
      <c r="D29" s="3" t="s">
        <v>29</v>
      </c>
      <c r="E29" s="3" t="s">
        <v>26</v>
      </c>
      <c r="F29" s="6">
        <v>58000</v>
      </c>
    </row>
    <row r="30" spans="3:6" ht="14.25" customHeight="1">
      <c r="C30" s="2">
        <v>150930</v>
      </c>
      <c r="D30" s="3" t="s">
        <v>18</v>
      </c>
      <c r="E30" s="3" t="s">
        <v>26</v>
      </c>
      <c r="F30" s="6">
        <v>82000</v>
      </c>
    </row>
    <row r="31" spans="3:6" ht="14.25" customHeight="1">
      <c r="C31" s="2">
        <v>150937</v>
      </c>
      <c r="D31" s="3" t="s">
        <v>37</v>
      </c>
      <c r="E31" s="3" t="s">
        <v>26</v>
      </c>
      <c r="F31" s="6">
        <v>37000</v>
      </c>
    </row>
    <row r="32" spans="3:6" ht="14.25" customHeight="1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>
      <c r="C33" s="2">
        <v>150947</v>
      </c>
      <c r="D33" s="3" t="s">
        <v>54</v>
      </c>
      <c r="E33" s="3" t="s">
        <v>26</v>
      </c>
      <c r="F33" s="6">
        <v>85000</v>
      </c>
    </row>
    <row r="34" spans="3:6" ht="14.25" customHeight="1">
      <c r="C34" s="2">
        <v>150962</v>
      </c>
      <c r="D34" s="3" t="s">
        <v>33</v>
      </c>
      <c r="E34" s="3" t="s">
        <v>26</v>
      </c>
      <c r="F34" s="6">
        <v>87000</v>
      </c>
    </row>
    <row r="35" spans="3:6" ht="14.25" customHeight="1">
      <c r="C35" s="2">
        <v>150968</v>
      </c>
      <c r="D35" s="3" t="s">
        <v>67</v>
      </c>
      <c r="E35" s="3" t="s">
        <v>26</v>
      </c>
      <c r="F35" s="6">
        <v>65000</v>
      </c>
    </row>
    <row r="36" spans="3:6" ht="14.25" customHeight="1">
      <c r="C36" s="2">
        <v>150975</v>
      </c>
      <c r="D36" s="3" t="s">
        <v>70</v>
      </c>
      <c r="E36" s="3" t="s">
        <v>38</v>
      </c>
      <c r="F36" s="6">
        <v>83000</v>
      </c>
    </row>
    <row r="37" spans="3:6" ht="14.25" customHeight="1">
      <c r="C37" s="2">
        <v>150982</v>
      </c>
      <c r="D37" s="3" t="s">
        <v>29</v>
      </c>
      <c r="E37" s="3" t="s">
        <v>38</v>
      </c>
      <c r="F37" s="6">
        <v>47000</v>
      </c>
    </row>
    <row r="38" spans="3:6" ht="14.25" customHeight="1">
      <c r="C38" s="2">
        <v>150989</v>
      </c>
      <c r="D38" s="3" t="s">
        <v>18</v>
      </c>
      <c r="E38" s="3" t="s">
        <v>38</v>
      </c>
      <c r="F38" s="6">
        <v>45000</v>
      </c>
    </row>
    <row r="39" spans="3:6" ht="14.25" customHeight="1">
      <c r="C39" s="2">
        <v>150990</v>
      </c>
      <c r="D39" s="3" t="s">
        <v>37</v>
      </c>
      <c r="E39" s="3" t="s">
        <v>38</v>
      </c>
      <c r="F39" s="6">
        <v>77000</v>
      </c>
    </row>
    <row r="40" spans="3:6" ht="14.25" customHeight="1">
      <c r="C40" s="2">
        <v>150995</v>
      </c>
      <c r="D40" s="3" t="s">
        <v>25</v>
      </c>
      <c r="E40" s="3" t="s">
        <v>38</v>
      </c>
      <c r="F40" s="6">
        <v>15000</v>
      </c>
    </row>
    <row r="41" spans="3:6" ht="14.25" customHeight="1"/>
    <row r="42" spans="3:6" ht="14.25" customHeight="1"/>
    <row r="43" spans="3:6" ht="14.25" customHeight="1"/>
    <row r="44" spans="3:6" ht="14.25" customHeight="1"/>
    <row r="45" spans="3:6" ht="14.25" customHeight="1"/>
    <row r="46" spans="3:6" ht="14.25" customHeight="1"/>
    <row r="47" spans="3:6" ht="14.25" customHeight="1"/>
    <row r="48" spans="3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Index&amp;Match</vt:lpstr>
      <vt:lpstr>Master Emp sheet</vt:lpstr>
      <vt:lpstr>Source</vt:lpstr>
      <vt:lpstr>data</vt:lpstr>
      <vt:lpstr>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Sarvadny Thube</cp:lastModifiedBy>
  <dcterms:created xsi:type="dcterms:W3CDTF">2022-07-27T06:45:44Z</dcterms:created>
  <dcterms:modified xsi:type="dcterms:W3CDTF">2025-10-17T11:42:30Z</dcterms:modified>
</cp:coreProperties>
</file>